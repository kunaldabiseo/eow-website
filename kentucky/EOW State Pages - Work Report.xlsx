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tate Pages" sheetId="2" state="visible" r:id="rId4"/>
    <sheet name="Kentucky Changes" sheetId="3" state="visible" r:id="rId5"/>
    <sheet name="Feedback Tracker" sheetId="4" state="visible" r:id="rId6"/>
    <sheet name="Fact Check" sheetId="5" state="visible" r:id="rId7"/>
    <sheet name="Open Questions" sheetId="6" state="visible" r:id="rId8"/>
    <sheet name="Missing States" sheetId="7" state="visible" r:id="rId9"/>
  </sheets>
  <definedNames>
    <definedName function="false" hidden="true" localSheetId="4" name="_xlnm._FilterDatabase" vbProcedure="false">'Fact Check'!$A$4:$E$22</definedName>
    <definedName function="false" hidden="true" localSheetId="3" name="_xlnm._FilterDatabase" vbProcedure="false">'Feedback Tracker'!$A$4:$E$13</definedName>
    <definedName function="false" hidden="true" localSheetId="2" name="_xlnm._FilterDatabase" vbProcedure="false">'Kentucky Changes'!$A$4:$D$20</definedName>
    <definedName function="false" hidden="true" localSheetId="6" name="_xlnm._FilterDatabase" vbProcedure="false">'Missing States'!$A$4:$B$15</definedName>
    <definedName function="false" hidden="true" localSheetId="5" name="_xlnm._FilterDatabase" vbProcedure="false">'Open Questions'!$A$4:$D$9</definedName>
    <definedName function="false" hidden="true" localSheetId="1" name="_xlnm._FilterDatabase" vbProcedure="false">'State Pages'!$A$4:$M$49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<sst xmlns="http://schemas.openxmlformats.org/spreadsheetml/2006/main" count="674" uniqueCount="429">
  <si>
    <t xml:space="preserve">EOW State Pages: Work Report</t>
  </si>
  <si>
    <t xml:space="preserve">expertophthalmologywitness.com  |  Content and on-page SEO update of the state and location pages (no redesign)</t>
  </si>
  <si>
    <t xml:space="preserve">Website</t>
  </si>
  <si>
    <t xml:space="preserve">https://www.expertophthalmologywitness.com/</t>
  </si>
  <si>
    <t xml:space="preserve">Scope</t>
  </si>
  <si>
    <t xml:space="preserve">Content-only update of the state and location pages. Design, header, footer and page URLs stay the same.</t>
  </si>
  <si>
    <t xml:space="preserve">Target keywords</t>
  </si>
  <si>
    <t xml:space="preserve">expert ophthalmology witness {state}  |  expert ophthalmologist witness {state}</t>
  </si>
  <si>
    <t xml:space="preserve">Sample page</t>
  </si>
  <si>
    <t xml:space="preserve">Kentucky</t>
  </si>
  <si>
    <t xml:space="preserve">Kentucky review page (Before / After / What changed)</t>
  </si>
  <si>
    <t xml:space="preserve">https://kunaldabiseo.github.io/eow-website/kentucky/</t>
  </si>
  <si>
    <t xml:space="preserve">Kentucky updated page (draft)</t>
  </si>
  <si>
    <t xml:space="preserve">https://kunaldabiseo.github.io/eow-website/kentucky/updated-page.html</t>
  </si>
  <si>
    <t xml:space="preserve">Kentucky live page (not yet updated)</t>
  </si>
  <si>
    <t xml:space="preserve">https://www.expertophthalmologywitness.com/kentucky-expert-ophthalmology-witness/</t>
  </si>
  <si>
    <t xml:space="preserve">Full report (README)</t>
  </si>
  <si>
    <t xml:space="preserve">https://github.com/kunaldabiseo/eow-website/tree/main/kentucky</t>
  </si>
  <si>
    <t xml:space="preserve">Status at a glance</t>
  </si>
  <si>
    <t xml:space="preserve">Location pages on the site</t>
  </si>
  <si>
    <t xml:space="preserve">US states + DC with a page</t>
  </si>
  <si>
    <t xml:space="preserve">International / territory pages</t>
  </si>
  <si>
    <t xml:space="preserve">Pages with the same body text (only state name changes)</t>
  </si>
  <si>
    <t xml:space="preserve">Pages using "ophthalmologist" in the body text</t>
  </si>
  <si>
    <t xml:space="preserve">Pages updated (draft ready)</t>
  </si>
  <si>
    <t xml:space="preserve">Pages live with the update</t>
  </si>
  <si>
    <t xml:space="preserve">Pages not started</t>
  </si>
  <si>
    <t xml:space="preserve">US states with no page yet</t>
  </si>
  <si>
    <t xml:space="preserve">Client feedback items done</t>
  </si>
  <si>
    <t xml:space="preserve">Client feedback items open</t>
  </si>
  <si>
    <t xml:space="preserve">Questions waiting for a client answer</t>
  </si>
  <si>
    <t xml:space="preserve">Sheets in this workbook</t>
  </si>
  <si>
    <t xml:space="preserve">State Pages</t>
  </si>
  <si>
    <t xml:space="preserve">Every location page with its current title, meta description, word count and the issues found.</t>
  </si>
  <si>
    <t xml:space="preserve">Kentucky Changes</t>
  </si>
  <si>
    <t xml:space="preserve">Every change on the Kentucky sample page: before, after and the reason.</t>
  </si>
  <si>
    <t xml:space="preserve">Feedback Tracker</t>
  </si>
  <si>
    <t xml:space="preserve">Each feedback item from the review and where it stands.</t>
  </si>
  <si>
    <t xml:space="preserve">Fact Check</t>
  </si>
  <si>
    <t xml:space="preserve">Every fact and figure on the Kentucky page and the source it was checked against.</t>
  </si>
  <si>
    <t xml:space="preserve">Open Questions</t>
  </si>
  <si>
    <t xml:space="preserve">Points that need a decision from you.</t>
  </si>
  <si>
    <t xml:space="preserve">Missing States</t>
  </si>
  <si>
    <t xml:space="preserve">US states with no page on the site yet.</t>
  </si>
  <si>
    <t xml:space="preserve">Counts in "Status at a glance" are formulas and update when the Status column on the State Pages sheet changes.</t>
  </si>
  <si>
    <t xml:space="preserve">State and Location Pages</t>
  </si>
  <si>
    <t xml:space="preserve">Audit of every location page in the sitemap (page-sitemap.xml). Status values: Not started / Draft ready, awaiting go-live / Live</t>
  </si>
  <si>
    <t xml:space="preserve">#</t>
  </si>
  <si>
    <t xml:space="preserve">Location</t>
  </si>
  <si>
    <t xml:space="preserve">Type</t>
  </si>
  <si>
    <t xml:space="preserve">Live URL</t>
  </si>
  <si>
    <t xml:space="preserve">Current title</t>
  </si>
  <si>
    <t xml:space="preserve">Title length</t>
  </si>
  <si>
    <t xml:space="preserve">Current meta description</t>
  </si>
  <si>
    <t xml:space="preserve">Meta length</t>
  </si>
  <si>
    <t xml:space="preserve">"ophthalmologist" in body</t>
  </si>
  <si>
    <t xml:space="preserve">Same body text as other pages</t>
  </si>
  <si>
    <t xml:space="preserve">Issues found</t>
  </si>
  <si>
    <t xml:space="preserve">Status</t>
  </si>
  <si>
    <t xml:space="preserve">Review / demo URL</t>
  </si>
  <si>
    <t xml:space="preserve">Alabama</t>
  </si>
  <si>
    <t xml:space="preserve">US state / DC</t>
  </si>
  <si>
    <t xml:space="preserve">https://www.expertophthalmologywitness.com/alabama-expert-ophthalmology-witness/</t>
  </si>
  <si>
    <t xml:space="preserve">Alabama Expert Ophthalmology Witness</t>
  </si>
  <si>
    <t xml:space="preserve">Alabama Expert Ophthalmology Witness Testimony, Alabama Expert Ophthalmologist Witness Testimony</t>
  </si>
  <si>
    <t xml:space="preserve">Yes</t>
  </si>
  <si>
    <t xml:space="preserve">• Same body text as every other location page (only the location name changes)
• "ophthalmologist" keyword not used in the body text
• Only template H2 headings, nothing about the location
• No location-specific facts (rules, courts, cases)
• Images have no alt text
• Share image (og:image) is the email icon
• Meta description is a keyword list, not a sentence
• In-text "Refractive surgery" link goes through a redirect</t>
  </si>
  <si>
    <t xml:space="preserve">Not started</t>
  </si>
  <si>
    <t xml:space="preserve">Alaska</t>
  </si>
  <si>
    <t xml:space="preserve">https://www.expertophthalmologywitness.com/alaska-expert-ophthalmology-witness/</t>
  </si>
  <si>
    <t xml:space="preserve">Alaska Expert Ophthalmology Witness</t>
  </si>
  <si>
    <t xml:space="preserve">Alaska Expert Ophthalmology Witness Testimony, Alaska Expert Ophthalmologist Witness Testimony</t>
  </si>
  <si>
    <t xml:space="preserve">Arizona</t>
  </si>
  <si>
    <t xml:space="preserve">https://www.expertophthalmologywitness.com/arizona-expert-ophthalmology-witness/</t>
  </si>
  <si>
    <t xml:space="preserve">Arizona Expert Ophthalmology Witness</t>
  </si>
  <si>
    <t xml:space="preserve">Arizona Expert Ophthalmology Witness Testimony, Arizona Expert Ophthalmologist Witness Testimony</t>
  </si>
  <si>
    <t xml:space="preserve">California</t>
  </si>
  <si>
    <t xml:space="preserve">https://www.expertophthalmologywitness.com/california-expert-ophthalmology-witness/</t>
  </si>
  <si>
    <t xml:space="preserve">California Expert Ophthalmology Witness</t>
  </si>
  <si>
    <t xml:space="preserve">California Expert Ophthalmology Witness Testimony, California Expert Ophthalmologist Witness Testimony</t>
  </si>
  <si>
    <t xml:space="preserve">Canada</t>
  </si>
  <si>
    <t xml:space="preserve">International / territory</t>
  </si>
  <si>
    <t xml:space="preserve">https://www.expertophthalmologywitness.com/canada-expert-ophthalmology-witness/</t>
  </si>
  <si>
    <t xml:space="preserve">Canada Expert Ophthalmology Witness</t>
  </si>
  <si>
    <t xml:space="preserve">Canada Expert Ophthalmology Witness Testimony, case review, deposition, litigation support for plaintiff &amp; defense. Canada Expert Ophthalmologist Witness Testimony</t>
  </si>
  <si>
    <t xml:space="preserve">• Same body text as every other location page (only the location name changes)
• "ophthalmologist" keyword not used in the body text
• Only template H2 headings, nothing about the location
• No location-specific facts (rules, courts, cases)
• Images have no alt text
• Share image (og:image) is the email icon
• Meta description too long (163 characters, cut off in Google)
• In-text "Refractive surgery" link goes through a redirect</t>
  </si>
  <si>
    <t xml:space="preserve">Colorado</t>
  </si>
  <si>
    <t xml:space="preserve">https://www.expertophthalmologywitness.com/colorado-expert-ophthalmology-witness/</t>
  </si>
  <si>
    <t xml:space="preserve">Colorado Expert Ophthalmology Witness</t>
  </si>
  <si>
    <t xml:space="preserve">Colorado Expert Ophthalmology Witness Testimony, Colorado Expert Ophthalmologist Witness Testimony</t>
  </si>
  <si>
    <t xml:space="preserve">Connecticut</t>
  </si>
  <si>
    <t xml:space="preserve">https://www.expertophthalmologywitness.com/connecticut-expert-ophthalmology-witness/</t>
  </si>
  <si>
    <t xml:space="preserve">Connecticut Expert Ophthalmology Witness</t>
  </si>
  <si>
    <t xml:space="preserve">Connecticut Expert Ophthalmology Witness Testimony, Connecticut Expert Ophthalmologist Witness Testimony</t>
  </si>
  <si>
    <t xml:space="preserve">District of Columbia</t>
  </si>
  <si>
    <t xml:space="preserve">https://www.expertophthalmologywitness.com/district-of-columbia-expert-ophthalmology-witness/</t>
  </si>
  <si>
    <t xml:space="preserve">District of Columbia Expert Ophthalmology Witness</t>
  </si>
  <si>
    <t xml:space="preserve">District of Columbia Expert Ophthalmology Witness Testimony, District of Columbia Expert Ophthalmologist Witness Testimony</t>
  </si>
  <si>
    <t xml:space="preserve">Florida</t>
  </si>
  <si>
    <t xml:space="preserve">https://www.expertophthalmologywitness.com/florida-expert-ophthalmology-witness/</t>
  </si>
  <si>
    <t xml:space="preserve">Florida Expert Ophthalmology Witness | Dr. Todd Lefkowitz</t>
  </si>
  <si>
    <t xml:space="preserve">Florida Expert Ophthalmology Witness Testimony, Florida Expert Ophthalmologist Witness Testimony</t>
  </si>
  <si>
    <t xml:space="preserve">Georgia</t>
  </si>
  <si>
    <t xml:space="preserve">https://www.expertophthalmologywitness.com/georgia-expert-ophthalmology-witness/</t>
  </si>
  <si>
    <t xml:space="preserve">Georgia Expert Ophthalmology Witness</t>
  </si>
  <si>
    <t xml:space="preserve">Georgia Expert Ophthalmology Witness Testimony, Georgia Expert Ophthalmologist Witness Testimony</t>
  </si>
  <si>
    <t xml:space="preserve">Hawaii</t>
  </si>
  <si>
    <t xml:space="preserve">https://www.expertophthalmologywitness.com/hawaii-expert-ophthalmology-witness/</t>
  </si>
  <si>
    <t xml:space="preserve">Hawaii Expert Ophthalmology Witness</t>
  </si>
  <si>
    <t xml:space="preserve">Hawaii Expert Ophthalmology Witness Testimony, Hawaii Expert Ophthalmologist Witness Testimony</t>
  </si>
  <si>
    <t xml:space="preserve">Idaho</t>
  </si>
  <si>
    <t xml:space="preserve">https://www.expertophthalmologywitness.com/idaho-expert-ophthalmology-witness/</t>
  </si>
  <si>
    <t xml:space="preserve">Idaho Expert Ophthalmology Witness</t>
  </si>
  <si>
    <t xml:space="preserve">Idaho Expert Ophthalmology Witness Testimony, Idaho Expert Ophthalmologist Witness Testimony</t>
  </si>
  <si>
    <t xml:space="preserve">Illinois</t>
  </si>
  <si>
    <t xml:space="preserve">https://www.expertophthalmologywitness.com/illinois-expert-ophthalmology-witness/</t>
  </si>
  <si>
    <t xml:space="preserve">Illinois Expert Ophthalmology Witness</t>
  </si>
  <si>
    <t xml:space="preserve">Illinois Expert Ophthalmology Witness Testimony, Illinois Expert Ophthalmologist Witness Testimony</t>
  </si>
  <si>
    <t xml:space="preserve">Indiana</t>
  </si>
  <si>
    <t xml:space="preserve">https://www.expertophthalmologywitness.com/indiana-expert-ophthalmology-witness/</t>
  </si>
  <si>
    <t xml:space="preserve">Indiana Expert Ophthalmology Witness</t>
  </si>
  <si>
    <t xml:space="preserve">Indiana Expert Ophthalmology Witness Testimony, Indiana Expert Ophthalmologist Witness Testimony</t>
  </si>
  <si>
    <t xml:space="preserve">Kansas</t>
  </si>
  <si>
    <t xml:space="preserve">https://www.expertophthalmologywitness.com/kansas-expert-ophthalmology-witness/</t>
  </si>
  <si>
    <t xml:space="preserve">Kansas Expert Ophthalmology Witness</t>
  </si>
  <si>
    <t xml:space="preserve">Kansas Expert Ophthalmology Witness Testimony, Kansas Expert Ophthalmologist Witness Testimony</t>
  </si>
  <si>
    <t xml:space="preserve">Kentucky Expert Ophthalmology Witness</t>
  </si>
  <si>
    <t xml:space="preserve">Kentucky Expert Ophthalmology Witness, Kentucky Expert Ophthalmologist Witness Testimony</t>
  </si>
  <si>
    <t xml:space="preserve">Draft ready, awaiting go-live</t>
  </si>
  <si>
    <t xml:space="preserve">Louisiana</t>
  </si>
  <si>
    <t xml:space="preserve">https://www.expertophthalmologywitness.com/louisiana-expert-ophthalmology-witness/</t>
  </si>
  <si>
    <t xml:space="preserve">Louisiana Expert Ophthalmology Witness</t>
  </si>
  <si>
    <t xml:space="preserve">Louisiana Expert Ophthalmology Witness Testimony, Louisiana Expert Ophthalmologist Witness Testimony</t>
  </si>
  <si>
    <t xml:space="preserve">Massachusetts</t>
  </si>
  <si>
    <t xml:space="preserve">https://www.expertophthalmologywitness.com/massachusetts-expert-ophthalmology-witness/</t>
  </si>
  <si>
    <t xml:space="preserve">Massachusetts Expert Ophthalmology Witness</t>
  </si>
  <si>
    <t xml:space="preserve">Massachusetts Expert Ophthalmology Witness Testimony, Massachusetts Expert Ophthalmologist Witness Testimony</t>
  </si>
  <si>
    <t xml:space="preserve">Michigan</t>
  </si>
  <si>
    <t xml:space="preserve">https://www.expertophthalmologywitness.com/michigan-expert-ophthalmology-witness/</t>
  </si>
  <si>
    <t xml:space="preserve">Michigan Expert Ophthalmology Witness</t>
  </si>
  <si>
    <t xml:space="preserve">Michigan Expert Ophthalmology Witness Testimony, Michigan Expert Ophthalmologist Witness Testimony</t>
  </si>
  <si>
    <t xml:space="preserve">Minnesota</t>
  </si>
  <si>
    <t xml:space="preserve">https://www.expertophthalmologywitness.com/minnesota-expert-ophthalmology-witness/</t>
  </si>
  <si>
    <t xml:space="preserve">Minnesota Expert Ophthalmology Witness</t>
  </si>
  <si>
    <t xml:space="preserve">Minnesota Expert Ophthalmology Witness Testimony, Minnesota Expert Ophthalmologist Witness Testimony</t>
  </si>
  <si>
    <t xml:space="preserve">Mississippi</t>
  </si>
  <si>
    <t xml:space="preserve">https://www.expertophthalmologywitness.com/mississippi-expert-ophthalmology-witness/</t>
  </si>
  <si>
    <t xml:space="preserve">Mississippi Expert Ophthalmology Witness</t>
  </si>
  <si>
    <t xml:space="preserve">Mississippi Expert Ophthalmology Witness Testimony, Mississippi Expert Ophthalmologist Witness Testimony</t>
  </si>
  <si>
    <t xml:space="preserve">Missouri</t>
  </si>
  <si>
    <t xml:space="preserve">https://www.expertophthalmologywitness.com/missouri-expert-ophthalmology-witness/</t>
  </si>
  <si>
    <t xml:space="preserve">Missouri Expert Ophthalmology Witness</t>
  </si>
  <si>
    <t xml:space="preserve">Missouri Expert Ophthalmology Witness Testimony, Missouri Expert Ophthalmologist Witness Testimony</t>
  </si>
  <si>
    <t xml:space="preserve">Montana</t>
  </si>
  <si>
    <t xml:space="preserve">https://www.expertophthalmologywitness.com/montana-expert-ophthalmology-witness/</t>
  </si>
  <si>
    <t xml:space="preserve">Montana Expert Ophthalmology Witness</t>
  </si>
  <si>
    <t xml:space="preserve">Montana Expert Ophthalmology Witness Testimony, Montana Expert Ophthalmologist Witness Testimony</t>
  </si>
  <si>
    <t xml:space="preserve">Nevada</t>
  </si>
  <si>
    <t xml:space="preserve">https://www.expertophthalmologywitness.com/nevada-expert-ophthalmology-witness/</t>
  </si>
  <si>
    <t xml:space="preserve">Nevada Expert Ophthalmology Witness</t>
  </si>
  <si>
    <t xml:space="preserve">Nevada Expert Ophthalmology Witness Testimony, Nevada Expert Ophthalmologist Witness Testimony</t>
  </si>
  <si>
    <t xml:space="preserve">New Jersey</t>
  </si>
  <si>
    <t xml:space="preserve">https://www.expertophthalmologywitness.com/new-jersey-expert-ophthalmology-witness/</t>
  </si>
  <si>
    <t xml:space="preserve">New Jersey Expert Ophthalmology Witness</t>
  </si>
  <si>
    <t xml:space="preserve">New Jersey Expert Ophthalmology Witness Testimony, New Jersey Expert Ophthalmologist Witness Testimony</t>
  </si>
  <si>
    <t xml:space="preserve">New Mexico</t>
  </si>
  <si>
    <t xml:space="preserve">https://www.expertophthalmologywitness.com/new-mexico-expert-ophthalmology-witness/</t>
  </si>
  <si>
    <t xml:space="preserve">New Mexico Expert Ophthalmology Witness</t>
  </si>
  <si>
    <t xml:space="preserve">New Mexico Expert Ophthalmology Witness Testimony, New Mexico Expert Ophthalmologist Witness Testimony</t>
  </si>
  <si>
    <t xml:space="preserve">New York</t>
  </si>
  <si>
    <t xml:space="preserve">https://www.expertophthalmologywitness.com/new-york-expert-ophthalmology-witness/</t>
  </si>
  <si>
    <t xml:space="preserve">New York Expert Ophthalmology Witness</t>
  </si>
  <si>
    <t xml:space="preserve">New York Expert Ophthalmology Witness Testimony, New York Expert Ophthalmologist Witness Testimony</t>
  </si>
  <si>
    <t xml:space="preserve">North Carolina</t>
  </si>
  <si>
    <t xml:space="preserve">https://www.expertophthalmologywitness.com/north-carolina-expert-ophthalmology-witness/</t>
  </si>
  <si>
    <t xml:space="preserve">North Carolina Expert Ophthalmology Witness</t>
  </si>
  <si>
    <t xml:space="preserve">North Carolina Expert Ophthalmology Witness Testimony, North Carolina Expert Ophthalmologist Witness Testimony</t>
  </si>
  <si>
    <t xml:space="preserve">Ohio</t>
  </si>
  <si>
    <t xml:space="preserve">https://www.expertophthalmologywitness.com/ohio-expert-ophthalmology-witness/</t>
  </si>
  <si>
    <t xml:space="preserve">Ohio Expert Ophthalmology Witness</t>
  </si>
  <si>
    <t xml:space="preserve">Ohio Expert Ophthalmology Witness Testimony, Ohio Expert Ophthalmologist Witness Testimony</t>
  </si>
  <si>
    <t xml:space="preserve">Oklahoma</t>
  </si>
  <si>
    <t xml:space="preserve">https://www.expertophthalmologywitness.com/oklahoma-expert-ophthalmology-witness/</t>
  </si>
  <si>
    <t xml:space="preserve">Oklahoma Expert Ophthalmology Witness</t>
  </si>
  <si>
    <t xml:space="preserve">Oklahoma Expert Ophthalmology Witness Testimony, Oklahoma Expert Ophthalmologist Witness Testimony</t>
  </si>
  <si>
    <t xml:space="preserve">Oregon</t>
  </si>
  <si>
    <t xml:space="preserve">https://www.expertophthalmologywitness.com/oregon-expert-ophthalmology-witness/</t>
  </si>
  <si>
    <t xml:space="preserve">Oregon Expert Ophthalmology Witness</t>
  </si>
  <si>
    <t xml:space="preserve">Oregon Expert Ophthalmology Witness Testimony, case review, deposition, litigation support for plaintiff &amp; defense. Oregon Expert Ophthalmologist Witness Testimony</t>
  </si>
  <si>
    <t xml:space="preserve">Pennsylvania</t>
  </si>
  <si>
    <t xml:space="preserve">https://www.expertophthalmologywitness.com/pennsylvania-expert-ophthalmology-witness/</t>
  </si>
  <si>
    <t xml:space="preserve">Pennsylvania Expert Ophthalmology Witness</t>
  </si>
  <si>
    <t xml:space="preserve">Pennsylvania Expert Ophthalmology Witness Testimony, Pennsylvania Expert Ophthalmologist Witness Testimony</t>
  </si>
  <si>
    <t xml:space="preserve">Puerto Rico</t>
  </si>
  <si>
    <t xml:space="preserve">https://www.expertophthalmologywitness.com/puerto-rico-expert-ophthalmology-witness/</t>
  </si>
  <si>
    <t xml:space="preserve">Puerto Rico Expert Ophthalmology Witness</t>
  </si>
  <si>
    <t xml:space="preserve">Puerto Rico Expert Ophthalmology Witness Testimony, case review, deposition, litigation support for plaintiff &amp; defense. Puerto Rico Expert Ophthalmologist Witness Testimony</t>
  </si>
  <si>
    <t xml:space="preserve">• Same body text as every other location page (only the location name changes)
• "ophthalmologist" keyword not used in the body text
• Only template H2 headings, nothing about the location
• No location-specific facts (rules, courts, cases)
• Images have no alt text
• Share image (og:image) is the email icon
• Meta description too long (173 characters, cut off in Google)
• In-text "Refractive surgery" link goes through a redirect</t>
  </si>
  <si>
    <t xml:space="preserve">Rhode Island</t>
  </si>
  <si>
    <t xml:space="preserve">https://www.expertophthalmologywitness.com/rhose-island-expert-ophthalmology-witness-dr-todd-lefkowitz/</t>
  </si>
  <si>
    <t xml:space="preserve">Rhode Island Expert Ophthalmology Witness</t>
  </si>
  <si>
    <t xml:space="preserve">Rhode Island Expert Ophthalmology Witness Testimony, for Plaintiff and Defense. Deposition, Trial and Case Reviews.</t>
  </si>
  <si>
    <t xml:space="preserve">• Same body text as every other location page (only the location name changes)
• "ophthalmologist" keyword not used in the body text
• Only template H2 headings, nothing about the location
• No location-specific facts (rules, courts, cases)
• Images have no alt text
• Share image (og:image) is the email icon
• Meta description is a keyword list, not a sentence
• URL typo: "rhose-island"
• URL pattern differs from the other location pages
• In-text "Refractive surgery" link goes through a redirect</t>
  </si>
  <si>
    <t xml:space="preserve">South Africa</t>
  </si>
  <si>
    <t xml:space="preserve">https://www.expertophthalmologywitness.com/south-africa-expert-ophthalmology-witness/</t>
  </si>
  <si>
    <t xml:space="preserve">South Africa Expert Ophthalmology Witness – DR. Todd Lefkowitz</t>
  </si>
  <si>
    <t xml:space="preserve">Dr. Lefkowitz provides South Africa Expert Ophthalmology Witness services for medicolega cases in South Africa and worldwide. Dr Lefkowitz specializes in: Cataract Surgery, Eyelid surgery, Refractive</t>
  </si>
  <si>
    <t xml:space="preserve">• Same body text as every other location page (only the location name changes)
• "ophthalmologist" keyword not used in the body text
• Only template H2 headings, nothing about the location
• No location-specific facts (rules, courts, cases)
• Images have no alt text
• Share image (og:image) is the email icon
• Meta description too long (199 characters, cut off in Google)
• Typo in meta description: "medicolega"
• Title uses "DR." in capitals
• In-text "Refractive surgery" link goes through a redirect</t>
  </si>
  <si>
    <t xml:space="preserve">South Dakota</t>
  </si>
  <si>
    <t xml:space="preserve">https://www.expertophthalmologywitness.com/south-dakota-expert-ophthalmology-witness/</t>
  </si>
  <si>
    <t xml:space="preserve">South Dakota Expert Ophthalmology Witness</t>
  </si>
  <si>
    <t xml:space="preserve">South Dakota Expert Ophthalmology Witness Testimony, South Dakota Expert Ophthalmologist Witness Testimony</t>
  </si>
  <si>
    <t xml:space="preserve">Tennessee</t>
  </si>
  <si>
    <t xml:space="preserve">https://www.expertophthalmologywitness.com/tennessee-expert-ophthalmology-witness/</t>
  </si>
  <si>
    <t xml:space="preserve">Tennessee Expert Ophthalmology Witness</t>
  </si>
  <si>
    <t xml:space="preserve">Tennessee Expert Ophthalmology Witness Testimony, Tennessee Expert Ophthalmologist Witness Testimony</t>
  </si>
  <si>
    <t xml:space="preserve">Texas</t>
  </si>
  <si>
    <t xml:space="preserve">https://www.expertophthalmologywitness.com/texas-expert-ophthalmology-witness/</t>
  </si>
  <si>
    <t xml:space="preserve">Texas Expert Ophthalmology Witness</t>
  </si>
  <si>
    <t xml:space="preserve">Texas Expert Ophthalmology Witness Testimony, Texas Expert Ophthalmologist Witness Testimony</t>
  </si>
  <si>
    <t xml:space="preserve">US Virgin Islands</t>
  </si>
  <si>
    <t xml:space="preserve">https://www.expertophthalmologywitness.com/us-virgin-islands-expert-ophthalmology-witness/</t>
  </si>
  <si>
    <t xml:space="preserve">US Virgin Islands Expert Ophthalmology Witness – DR. Todd Lefkowitz</t>
  </si>
  <si>
    <t xml:space="preserve">Dr. Lefkowitz provides Expert Ophthalmology Witness services for medicolega cases in The US Virgin Islands and worldwide. Dr Lefkowitz specializes in: Cataract Surgery, Eyelid surgery, Refractive sur…</t>
  </si>
  <si>
    <t xml:space="preserve">• Same body text as every other location page (only the location name changes)
• "ophthalmologist" keyword not used in the body text
• Only template H2 headings, nothing about the location
• No location-specific facts (rules, courts, cases)
• Images have no alt text
• Share image (og:image) is the email icon
• Meta description too long (200 characters, cut off in Google)
• Typo in meta description: "medicolega"
• Title uses "DR." in capitals
• In-text "Refractive surgery" link goes through a redirect</t>
  </si>
  <si>
    <t xml:space="preserve">United Kingdom</t>
  </si>
  <si>
    <t xml:space="preserve">https://www.expertophthalmologywitness.com/united-kingdom-expert-ophthalmology-witness/</t>
  </si>
  <si>
    <t xml:space="preserve">United Kingdom Expert Ophthalmology Witness – DR. Todd Lefkowitz</t>
  </si>
  <si>
    <t xml:space="preserve">Dr. Lefkowitz provides Expert Ophthalmology Witness services for medicolega cases in The United Kingdom and worldwide. Dr Lefkowitz specializes in: Cataract Surgery, Eyelid surgery, Refractive surger…</t>
  </si>
  <si>
    <t xml:space="preserve">Utah</t>
  </si>
  <si>
    <t xml:space="preserve">https://www.expertophthalmologywitness.com/utah-expert-ophthalmology-witness/</t>
  </si>
  <si>
    <t xml:space="preserve">Utah Expert Ophthalmology Witness</t>
  </si>
  <si>
    <t xml:space="preserve">Utah Expert Ophthalmology Witness Testimony, Utah Expert Ophthalmologist Witness Testimony</t>
  </si>
  <si>
    <t xml:space="preserve">Virginia</t>
  </si>
  <si>
    <t xml:space="preserve">https://www.expertophthalmologywitness.com/virginia-expert-ophthalmology-witness/</t>
  </si>
  <si>
    <t xml:space="preserve">Virginia Expert Ophthalmology Witness</t>
  </si>
  <si>
    <t xml:space="preserve">Virginia Expert Ophthalmology Witness Testimony, Virginia Expert Ophthalmologist Witness Testimony</t>
  </si>
  <si>
    <t xml:space="preserve">Washington</t>
  </si>
  <si>
    <t xml:space="preserve">https://www.expertophthalmologywitness.com/washington-expert-ophthalmology-witness/</t>
  </si>
  <si>
    <t xml:space="preserve">Washington Expert Ophthalmology Witness</t>
  </si>
  <si>
    <t xml:space="preserve">Washington Expert Ophthalmology Witness Testimony, Washington Expert Ophthalmologist Witness Testimony</t>
  </si>
  <si>
    <t xml:space="preserve">West Virginia</t>
  </si>
  <si>
    <t xml:space="preserve">https://www.expertophthalmologywitness.com/west-virginia-expert-ophthalmology-witness/</t>
  </si>
  <si>
    <t xml:space="preserve">West Virginia Expert Ophthalmology Witness</t>
  </si>
  <si>
    <t xml:space="preserve">West Virginia Expert Ophthalmology Witness Testimony, West Virginia Expert Ophthalmologist Witness Testimony</t>
  </si>
  <si>
    <t xml:space="preserve">Wyoming</t>
  </si>
  <si>
    <t xml:space="preserve">https://www.expertophthalmologywitness.com/wyoming-expert-ophthalmology-witness-dr-todd-lefkowitz/</t>
  </si>
  <si>
    <t xml:space="preserve">Wyoming Expert Ophthalmology Witness</t>
  </si>
  <si>
    <t xml:space="preserve">Wyoming Expert Ophthalmology Witness Testimony, Wyoming Expert Ophthalmologist Witness Testimony</t>
  </si>
  <si>
    <t xml:space="preserve">• Same body text as every other location page (only the location name changes)
• "ophthalmologist" keyword not used in the body text
• Only template H2 headings, nothing about the location
• No location-specific facts (rules, courts, cases)
• Images have no alt text
• Share image (og:image) is the email icon
• Meta description is a keyword list, not a sentence
• URL pattern differs from the other location pages
• In-text "Refractive surgery" link goes through a redirect</t>
  </si>
  <si>
    <t xml:space="preserve">Title length and meta length are formulas (=LEN). Audit taken from the live site on 23 Oct 2026.</t>
  </si>
  <si>
    <t xml:space="preserve">Kentucky Sample Page: Before and After</t>
  </si>
  <si>
    <t xml:space="preserve">Design stays the same. Review all changes side by side at https://kunaldabiseo.github.io/eow-website/kentucky/</t>
  </si>
  <si>
    <t xml:space="preserve">Item</t>
  </si>
  <si>
    <t xml:space="preserve">Before (live page)</t>
  </si>
  <si>
    <t xml:space="preserve">After (updated page)</t>
  </si>
  <si>
    <t xml:space="preserve">Why</t>
  </si>
  <si>
    <t xml:space="preserve">Search title</t>
  </si>
  <si>
    <t xml:space="preserve">Kentucky Expert Ophthalmology Witness | Dr. Todd Lefkowitz MD</t>
  </si>
  <si>
    <t xml:space="preserve">Adds Dr. Lefkowitz's name so the result reads as a real practice.</t>
  </si>
  <si>
    <t xml:space="preserve">Meta description</t>
  </si>
  <si>
    <t xml:space="preserve">Expert ophthalmologist witness for Kentucky cases. Board-certified Dr. Todd Lefkowitz reviews eye surgery claims, mainly for plaintiff and sometimes defense.</t>
  </si>
  <si>
    <t xml:space="preserve">A full sentence instead of a keyword list, with the "ophthalmologist" keyword.</t>
  </si>
  <si>
    <t xml:space="preserve">Main heading (H1)</t>
  </si>
  <si>
    <t xml:space="preserve">Kentucky Expert Ophthalmology Witness – Dr. Todd Lefkowitz</t>
  </si>
  <si>
    <t xml:space="preserve">No change</t>
  </si>
  <si>
    <t xml:space="preserve">Already correct.</t>
  </si>
  <si>
    <t xml:space="preserve">Body content</t>
  </si>
  <si>
    <t xml:space="preserve">236 words, same text as every other location page</t>
  </si>
  <si>
    <t xml:space="preserve">About 840 words written for Kentucky</t>
  </si>
  <si>
    <t xml:space="preserve">Unique content gives the page its own reason to rank for Kentucky.</t>
  </si>
  <si>
    <t xml:space="preserve">"ophthalmologist" keyword</t>
  </si>
  <si>
    <t xml:space="preserve">Not used in the body</t>
  </si>
  <si>
    <t xml:space="preserve">Used in the opening, a section heading and the meta description</t>
  </si>
  <si>
    <t xml:space="preserve">Covers both search terms.</t>
  </si>
  <si>
    <t xml:space="preserve">Section headings (H2)</t>
  </si>
  <si>
    <t xml:space="preserve">Only the shared site headings</t>
  </si>
  <si>
    <t xml:space="preserve">8 Kentucky sections: services, Kentucky rules, case types, credentials, how to start, FAQs, nearby states</t>
  </si>
  <si>
    <t xml:space="preserve">Clear structure for readers and search engines.</t>
  </si>
  <si>
    <t xml:space="preserve">Kentucky rules</t>
  </si>
  <si>
    <t xml:space="preserve">Not mentioned</t>
  </si>
  <si>
    <t xml:space="preserve">Certificate of merit (KRS 411.167) and one-year filing limit (KRS 413.140), each linked to the official statute</t>
  </si>
  <si>
    <t xml:space="preserve">Shows the page is written for Kentucky cases.</t>
  </si>
  <si>
    <t xml:space="preserve">Credentials</t>
  </si>
  <si>
    <t xml:space="preserve">One general sentence</t>
  </si>
  <si>
    <t xml:space="preserve">Board certification, Arizona Medical Board roles, MAXIMUS, teaching post, Air Force service, liability record, each linked to the About page</t>
  </si>
  <si>
    <t xml:space="preserve">All taken from the existing About page.</t>
  </si>
  <si>
    <t xml:space="preserve">FAQs</t>
  </si>
  <si>
    <t xml:space="preserve">None</t>
  </si>
  <si>
    <t xml:space="preserve">4 questions in a one-at-a-time accordion</t>
  </si>
  <si>
    <t xml:space="preserve">Answers common attorney questions.</t>
  </si>
  <si>
    <t xml:space="preserve">How to start</t>
  </si>
  <si>
    <t xml:space="preserve">One sentence</t>
  </si>
  <si>
    <t xml:space="preserve">3 steps: email or contact form, talk through the case, send the records</t>
  </si>
  <si>
    <t xml:space="preserve">Clear next step for an attorney.</t>
  </si>
  <si>
    <t xml:space="preserve">Internal links</t>
  </si>
  <si>
    <t xml:space="preserve">Refractive link went through a redirect; keyword link went to the homepage</t>
  </si>
  <si>
    <t xml:space="preserve">Refractive link fixed; links to the main expert witness page, retinal detachment page and 7 neighbouring states</t>
  </si>
  <si>
    <t xml:space="preserve">Helps visitors and search engines move between related pages.</t>
  </si>
  <si>
    <t xml:space="preserve">Source links</t>
  </si>
  <si>
    <t xml:space="preserve">Every statute, date and figure links to its source</t>
  </si>
  <si>
    <t xml:space="preserve">Requested in the review.</t>
  </si>
  <si>
    <t xml:space="preserve">Structured data (schema)</t>
  </si>
  <si>
    <t xml:space="preserve">Basic page data only</t>
  </si>
  <si>
    <t xml:space="preserve">Service, Person, Organization, FAQ, HowTo, Breadcrumb, Legislation, State, Image, matched to the visible text</t>
  </si>
  <si>
    <t xml:space="preserve">Helps Google and AI search tools understand the page.</t>
  </si>
  <si>
    <t xml:space="preserve">Share image</t>
  </si>
  <si>
    <t xml:space="preserve">Email icon</t>
  </si>
  <si>
    <t xml:space="preserve">Dr. Lefkowitz's photo</t>
  </si>
  <si>
    <t xml:space="preserve">His photo shows when the link is shared.</t>
  </si>
  <si>
    <t xml:space="preserve">Sidebar (desktop)</t>
  </si>
  <si>
    <t xml:space="preserve">Scrolls away</t>
  </si>
  <si>
    <t xml:space="preserve">Stays in view while the content scrolls</t>
  </si>
  <si>
    <t xml:space="preserve">Photo and expertise links stay visible.</t>
  </si>
  <si>
    <t xml:space="preserve">Spelling</t>
  </si>
  <si>
    <t xml:space="preserve">"Affadavits", "court room"</t>
  </si>
  <si>
    <t xml:space="preserve">Corrected</t>
  </si>
  <si>
    <t xml:space="preserve">Review Feedback Tracker</t>
  </si>
  <si>
    <t xml:space="preserve">Status values: Done / Open</t>
  </si>
  <si>
    <t xml:space="preserve">Date</t>
  </si>
  <si>
    <t xml:space="preserve">Feedback</t>
  </si>
  <si>
    <t xml:space="preserve">What was done</t>
  </si>
  <si>
    <t xml:space="preserve">24 Oct 2026</t>
  </si>
  <si>
    <t xml:space="preserve">Any stat like this needs to be linked to the source</t>
  </si>
  <si>
    <t xml:space="preserve">Every statute, date and figure on the page now links to its source (official Kentucky statutes, About page, main expert witness page).</t>
  </si>
  <si>
    <t xml:space="preserve">Done</t>
  </si>
  <si>
    <t xml:space="preserve">28 Oct 2026</t>
  </si>
  <si>
    <t xml:space="preserve">Edit: "Affidavits in support of your case" → "...if merited"</t>
  </si>
  <si>
    <t xml:space="preserve">Applied.</t>
  </si>
  <si>
    <t xml:space="preserve">Edit: "He understands that some cases are time sensitive..." → "Dr. Lefkowitz understands... Once the case is received..."</t>
  </si>
  <si>
    <t xml:space="preserve">Edit: "ophthalmology review early" → "expert ophthalmology witness review early"</t>
  </si>
  <si>
    <t xml:space="preserve">Edit: step 3 → "Send Dr. Lefkowitz the medical records. He will review them and provide an expert ophthalmology witness report with his opinion."</t>
  </si>
  <si>
    <t xml:space="preserve">Applied, in the page and in the structured data.</t>
  </si>
  <si>
    <t xml:space="preserve">Edit: FAQ answer → "mainly plaintiff and sometimes defense counsel"</t>
  </si>
  <si>
    <t xml:space="preserve">Applied. The same wording is now used in the opening paragraph, meta description and structured data.</t>
  </si>
  <si>
    <t xml:space="preserve">Double / triple check all stats and details</t>
  </si>
  <si>
    <t xml:space="preserve">Every fact and figure checked against the About page, the main expert witness page and the official statute text (see Fact Check). Three case-type details not supported by the site were removed.</t>
  </si>
  <si>
    <t xml:space="preserve">Complete the Kentucky page and send the final live URL</t>
  </si>
  <si>
    <t xml:space="preserve">Waiting on the case count answer (see Open Questions) before publishing.</t>
  </si>
  <si>
    <t xml:space="preserve">Open</t>
  </si>
  <si>
    <t xml:space="preserve">Apply the notes to all other state pages and send Dev/Demo URLs</t>
  </si>
  <si>
    <t xml:space="preserve">Next step after the Kentucky page.</t>
  </si>
  <si>
    <t xml:space="preserve">Fact Check: Kentucky Page</t>
  </si>
  <si>
    <t xml:space="preserve">Every fact and figure on the updated page and the source it was checked against</t>
  </si>
  <si>
    <t xml:space="preserve">Fact on the page</t>
  </si>
  <si>
    <t xml:space="preserve">Section</t>
  </si>
  <si>
    <t xml:space="preserve">Checked against</t>
  </si>
  <si>
    <t xml:space="preserve">Source link</t>
  </si>
  <si>
    <t xml:space="preserve">Result</t>
  </si>
  <si>
    <t xml:space="preserve">Diplomate, American Board of Ophthalmology since 1982</t>
  </si>
  <si>
    <t xml:space="preserve">About page: "Diplomate, American Board of Ophthalmology Dec. 1982"</t>
  </si>
  <si>
    <t xml:space="preserve">https://www.expertophthalmologywitness.com/about-me/</t>
  </si>
  <si>
    <t xml:space="preserve">Confirmed</t>
  </si>
  <si>
    <t xml:space="preserve">Over 40 years of practice as a surgeon and clinician</t>
  </si>
  <si>
    <t xml:space="preserve">About page: "over 40 years of practical experience; he is a surgeon and clinician"</t>
  </si>
  <si>
    <t xml:space="preserve">Expert reviewer for the Arizona Medical Board 2000 to 2007</t>
  </si>
  <si>
    <t xml:space="preserve">About page: "Outside Ophthalmology Consultant, Arizona Medical Board, 2000-2007"</t>
  </si>
  <si>
    <t xml:space="preserve">Physician Member of the Arizona Medical Board 2007 to 2010</t>
  </si>
  <si>
    <t xml:space="preserve">About page: "Physician Member, Arizona Medical Board, 2007-2010"</t>
  </si>
  <si>
    <t xml:space="preserve">Ophthalmology case reviewer for MAXIMUS 2010 to 2015</t>
  </si>
  <si>
    <t xml:space="preserve">About page: "Ophthalmology Case Reviewer for MAXIMUS, 2010-2015"</t>
  </si>
  <si>
    <t xml:space="preserve">Clinical Assistant Professor, University of Arizona College of Medicine Phoenix</t>
  </si>
  <si>
    <t xml:space="preserve">About page</t>
  </si>
  <si>
    <t xml:space="preserve">Former Chief of Ophthalmology at Luke AFB and Scott AFB, US Air Force Medical Corps</t>
  </si>
  <si>
    <t xml:space="preserve">About page: Military experience</t>
  </si>
  <si>
    <t xml:space="preserve">No history of malpractice settlements or verdicts, no medical board actions</t>
  </si>
  <si>
    <t xml:space="preserve">About page: Medical Liability</t>
  </si>
  <si>
    <t xml:space="preserve">400+ cases completed</t>
  </si>
  <si>
    <t xml:space="preserve">Main expert witness page says 400+; the current state pages say 100+</t>
  </si>
  <si>
    <t xml:space="preserve">https://www.expertophthalmologywitness.com/ophthalmologist-expert-witness/</t>
  </si>
  <si>
    <t xml:space="preserve">Needs client confirmation</t>
  </si>
  <si>
    <t xml:space="preserve">Dr. Lefkowitz has reviewed cases from Kentucky</t>
  </si>
  <si>
    <t xml:space="preserve">Opening</t>
  </si>
  <si>
    <t xml:space="preserve">Main expert witness page: list of states where he has reviewed cases</t>
  </si>
  <si>
    <t xml:space="preserve">Certificate of merit filed with the complaint; at least one qualified expert; reasonable basis</t>
  </si>
  <si>
    <t xml:space="preserve">Kentucky rules, FAQ</t>
  </si>
  <si>
    <t xml:space="preserve">KRS 411.167(1)-(2)</t>
  </si>
  <si>
    <t xml:space="preserve">https://apps.legislature.ky.gov/law/statutes/statute.aspx?id=49312</t>
  </si>
  <si>
    <t xml:space="preserve">Certificate can be supplemented within 60 days of service</t>
  </si>
  <si>
    <t xml:space="preserve">KRS 411.167(2)(b): "within sixty (60) days after service of the complaint"</t>
  </si>
  <si>
    <t xml:space="preserve">Not due until 90 days after requested records are produced</t>
  </si>
  <si>
    <t xml:space="preserve">KRS 411.167(5)</t>
  </si>
  <si>
    <t xml:space="preserve">In force since June 2019</t>
  </si>
  <si>
    <t xml:space="preserve">2019 Ky. Acts ch. 180, effective June 27, 2019</t>
  </si>
  <si>
    <t xml:space="preserve">https://apps.legislature.ky.gov/law/acts/19RS/documents/0180.pdf</t>
  </si>
  <si>
    <t xml:space="preserve">One year to file, counted from discovery of the injury</t>
  </si>
  <si>
    <t xml:space="preserve">KRS 413.140(1)(e) and (2)</t>
  </si>
  <si>
    <t xml:space="preserve">https://apps.legislature.ky.gov/law/statutes/statute.aspx?id=58050</t>
  </si>
  <si>
    <t xml:space="preserve">Depositions by phone or video; travel to Kentucky for trial</t>
  </si>
  <si>
    <t xml:space="preserve">Services, FAQ</t>
  </si>
  <si>
    <t xml:space="preserve">Current Kentucky page and site header text</t>
  </si>
  <si>
    <t xml:space="preserve">Case types: cataract, eyelid/oculoplastic, LASIK/refractive, glaucoma, retinal detachment, strabismus, pterygium, emergency care</t>
  </si>
  <si>
    <t xml:space="preserve">Case types</t>
  </si>
  <si>
    <t xml:space="preserve">About page practice specialties and the site's service pages</t>
  </si>
  <si>
    <t xml:space="preserve">Neighbouring states: Ohio, Indiana, Illinois, Missouri, Tennessee, Virginia, West Virginia</t>
  </si>
  <si>
    <t xml:space="preserve">Nearby states</t>
  </si>
  <si>
    <t xml:space="preserve">All seven border Kentucky and have a page on the site</t>
  </si>
  <si>
    <t xml:space="preserve">Removed during the check because the site does not state them: "lens and wound problems" (cataract), "diagnosis and management" (glaucoma), "delayed diagnosis" (retinal detachment).</t>
  </si>
  <si>
    <t xml:space="preserve">Points that need a decision before or during the rollout</t>
  </si>
  <si>
    <t xml:space="preserve">Topic</t>
  </si>
  <si>
    <t xml:space="preserve">Question</t>
  </si>
  <si>
    <t xml:space="preserve">Your answer</t>
  </si>
  <si>
    <t xml:space="preserve">Case count</t>
  </si>
  <si>
    <t xml:space="preserve">The main expert witness page says 400+ cases; the current state pages say 100+. Which number is correct?</t>
  </si>
  <si>
    <t xml:space="preserve">Image alt text</t>
  </si>
  <si>
    <t xml:space="preserve">The doctor photo and email icon have no alt text. They are shared images, so adding it updates every page that uses them. Should it be added?</t>
  </si>
  <si>
    <t xml:space="preserve">Site publisher name</t>
  </si>
  <si>
    <t xml:space="preserve">The SEO plugin lists the website as published by a user called "admin" with a blank image, on every page. Should it show Dr. Lefkowitz instead?</t>
  </si>
  <si>
    <t xml:space="preserve">Rhode Island URL</t>
  </si>
  <si>
    <t xml:space="preserve">The Rhode Island page address is spelled "rhose-island". Should it be corrected (with a redirect from the old address)?</t>
  </si>
  <si>
    <t xml:space="preserve">Missing states</t>
  </si>
  <si>
    <t xml:space="preserve">11 US states have no page yet (see Missing States). Should pages be created for them?</t>
  </si>
  <si>
    <t xml:space="preserve">Yellow cells are for your answers.</t>
  </si>
  <si>
    <t xml:space="preserve">US States With No Page</t>
  </si>
  <si>
    <t xml:space="preserve">From the site's page sitemap</t>
  </si>
  <si>
    <t xml:space="preserve">State</t>
  </si>
  <si>
    <t xml:space="preserve">Listed on the main page as a state where cases were reviewed</t>
  </si>
  <si>
    <t xml:space="preserve">Arkansas</t>
  </si>
  <si>
    <t xml:space="preserve">Delaware</t>
  </si>
  <si>
    <t xml:space="preserve">No</t>
  </si>
  <si>
    <t xml:space="preserve">Iowa</t>
  </si>
  <si>
    <t xml:space="preserve">Maine</t>
  </si>
  <si>
    <t xml:space="preserve">Maryland</t>
  </si>
  <si>
    <t xml:space="preserve">Nebraska</t>
  </si>
  <si>
    <t xml:space="preserve">New Hampshire</t>
  </si>
  <si>
    <t xml:space="preserve">North Dakota</t>
  </si>
  <si>
    <t xml:space="preserve">South Carolina</t>
  </si>
  <si>
    <t xml:space="preserve">Vermont</t>
  </si>
  <si>
    <t xml:space="preserve">Wisconsin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</si>
</sst>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i val="true"/>
      <sz val="10"/>
      <color rgb="FF5D636B"/>
      <name val="Arial"/>
      <family val="0"/>
      <charset val="1"/>
    </font>
    <font>
      <b val="true"/>
      <sz val="10"/>
      <name val="Arial"/>
      <family val="0"/>
      <charset val="1"/>
    </font>
    <font>
      <u val="single"/>
      <sz val="10"/>
      <color rgb="FF1155CC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i val="true"/>
      <sz val="9"/>
      <color rgb="FF5D636B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3F5F8"/>
        <bgColor rgb="FFFFFFFF"/>
      </patternFill>
    </fill>
    <fill>
      <patternFill patternType="solid">
        <fgColor rgb="FFFFF4C2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AE1"/>
      </left>
      <right style="thin">
        <color rgb="FFD5DAE1"/>
      </right>
      <top style="thin">
        <color rgb="FFD5DAE1"/>
      </top>
      <bottom style="thin">
        <color rgb="FFD5DA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3F5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155CC"/>
          <bgColor rgb="FF000000"/>
        </patternFill>
      </fill>
    </dxf>
    <dxf>
      <fill>
        <patternFill patternType="solid">
          <fgColor rgb="FFFFF4C2"/>
          <bgColor rgb="FF000000"/>
        </patternFill>
      </fill>
    </dxf>
    <dxf>
      <fill>
        <patternFill>
          <bgColor rgb="FFFFF4C2"/>
        </patternFill>
      </fill>
    </dxf>
    <dxf>
      <fill>
        <patternFill>
          <bgColor rgb="FFD9F2E3"/>
        </patternFill>
      </fill>
    </dxf>
    <dxf>
      <fill>
        <patternFill patternType="solid">
          <fgColor rgb="FFD9F2E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2"/>
      <rgbColor rgb="FFF3F5F8"/>
      <rgbColor rgb="FF660066"/>
      <rgbColor rgb="FFFF8080"/>
      <rgbColor rgb="FF1155CC"/>
      <rgbColor rgb="FFD5DA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D636B"/>
      <rgbColor rgb="FF8FA3BF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expertophthalmologywitness.com/" TargetMode="External"/><Relationship Id="rId2" Type="http://schemas.openxmlformats.org/officeDocument/2006/relationships/hyperlink" Target="https://kunaldabiseo.github.io/eow-website/kentucky/" TargetMode="External"/><Relationship Id="rId3" Type="http://schemas.openxmlformats.org/officeDocument/2006/relationships/hyperlink" Target="https://kunaldabiseo.github.io/eow-website/kentucky/updated-page.html" TargetMode="External"/><Relationship Id="rId4" Type="http://schemas.openxmlformats.org/officeDocument/2006/relationships/hyperlink" Target="https://www.expertophthalmologywitness.com/kentucky-expert-ophthalmology-witness/" TargetMode="External"/><Relationship Id="rId5" Type="http://schemas.openxmlformats.org/officeDocument/2006/relationships/hyperlink" Target="https://github.com/kunaldabiseo/eow-website/tree/main/kentucky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expertophthalmologywitness.com/alabama-expert-ophthalmology-witness/" TargetMode="External"/><Relationship Id="rId2" Type="http://schemas.openxmlformats.org/officeDocument/2006/relationships/hyperlink" Target="https://www.expertophthalmologywitness.com/alaska-expert-ophthalmology-witness/" TargetMode="External"/><Relationship Id="rId3" Type="http://schemas.openxmlformats.org/officeDocument/2006/relationships/hyperlink" Target="https://www.expertophthalmologywitness.com/arizona-expert-ophthalmology-witness/" TargetMode="External"/><Relationship Id="rId4" Type="http://schemas.openxmlformats.org/officeDocument/2006/relationships/hyperlink" Target="https://www.expertophthalmologywitness.com/california-expert-ophthalmology-witness/" TargetMode="External"/><Relationship Id="rId5" Type="http://schemas.openxmlformats.org/officeDocument/2006/relationships/hyperlink" Target="https://www.expertophthalmologywitness.com/canada-expert-ophthalmology-witness/" TargetMode="External"/><Relationship Id="rId6" Type="http://schemas.openxmlformats.org/officeDocument/2006/relationships/hyperlink" Target="https://www.expertophthalmologywitness.com/colorado-expert-ophthalmology-witness/" TargetMode="External"/><Relationship Id="rId7" Type="http://schemas.openxmlformats.org/officeDocument/2006/relationships/hyperlink" Target="https://www.expertophthalmologywitness.com/connecticut-expert-ophthalmology-witness/" TargetMode="External"/><Relationship Id="rId8" Type="http://schemas.openxmlformats.org/officeDocument/2006/relationships/hyperlink" Target="https://www.expertophthalmologywitness.com/district-of-columbia-expert-ophthalmology-witness/" TargetMode="External"/><Relationship Id="rId9" Type="http://schemas.openxmlformats.org/officeDocument/2006/relationships/hyperlink" Target="https://www.expertophthalmologywitness.com/florida-expert-ophthalmology-witness/" TargetMode="External"/><Relationship Id="rId10" Type="http://schemas.openxmlformats.org/officeDocument/2006/relationships/hyperlink" Target="https://www.expertophthalmologywitness.com/georgia-expert-ophthalmology-witness/" TargetMode="External"/><Relationship Id="rId11" Type="http://schemas.openxmlformats.org/officeDocument/2006/relationships/hyperlink" Target="https://www.expertophthalmologywitness.com/hawaii-expert-ophthalmology-witness/" TargetMode="External"/><Relationship Id="rId12" Type="http://schemas.openxmlformats.org/officeDocument/2006/relationships/hyperlink" Target="https://www.expertophthalmologywitness.com/idaho-expert-ophthalmology-witness/" TargetMode="External"/><Relationship Id="rId13" Type="http://schemas.openxmlformats.org/officeDocument/2006/relationships/hyperlink" Target="https://www.expertophthalmologywitness.com/illinois-expert-ophthalmology-witness/" TargetMode="External"/><Relationship Id="rId14" Type="http://schemas.openxmlformats.org/officeDocument/2006/relationships/hyperlink" Target="https://www.expertophthalmologywitness.com/indiana-expert-ophthalmology-witness/" TargetMode="External"/><Relationship Id="rId15" Type="http://schemas.openxmlformats.org/officeDocument/2006/relationships/hyperlink" Target="https://www.expertophthalmologywitness.com/kansas-expert-ophthalmology-witness/" TargetMode="External"/><Relationship Id="rId16" Type="http://schemas.openxmlformats.org/officeDocument/2006/relationships/hyperlink" Target="https://www.expertophthalmologywitness.com/kentucky-expert-ophthalmology-witness/" TargetMode="External"/><Relationship Id="rId17" Type="http://schemas.openxmlformats.org/officeDocument/2006/relationships/hyperlink" Target="https://kunaldabiseo.github.io/eow-website/kentucky/" TargetMode="External"/><Relationship Id="rId18" Type="http://schemas.openxmlformats.org/officeDocument/2006/relationships/hyperlink" Target="https://www.expertophthalmologywitness.com/louisiana-expert-ophthalmology-witness/" TargetMode="External"/><Relationship Id="rId19" Type="http://schemas.openxmlformats.org/officeDocument/2006/relationships/hyperlink" Target="https://www.expertophthalmologywitness.com/massachusetts-expert-ophthalmology-witness/" TargetMode="External"/><Relationship Id="rId20" Type="http://schemas.openxmlformats.org/officeDocument/2006/relationships/hyperlink" Target="https://www.expertophthalmologywitness.com/michigan-expert-ophthalmology-witness/" TargetMode="External"/><Relationship Id="rId21" Type="http://schemas.openxmlformats.org/officeDocument/2006/relationships/hyperlink" Target="https://www.expertophthalmologywitness.com/minnesota-expert-ophthalmology-witness/" TargetMode="External"/><Relationship Id="rId22" Type="http://schemas.openxmlformats.org/officeDocument/2006/relationships/hyperlink" Target="https://www.expertophthalmologywitness.com/mississippi-expert-ophthalmology-witness/" TargetMode="External"/><Relationship Id="rId23" Type="http://schemas.openxmlformats.org/officeDocument/2006/relationships/hyperlink" Target="https://www.expertophthalmologywitness.com/missouri-expert-ophthalmology-witness/" TargetMode="External"/><Relationship Id="rId24" Type="http://schemas.openxmlformats.org/officeDocument/2006/relationships/hyperlink" Target="https://www.expertophthalmologywitness.com/montana-expert-ophthalmology-witness/" TargetMode="External"/><Relationship Id="rId25" Type="http://schemas.openxmlformats.org/officeDocument/2006/relationships/hyperlink" Target="https://www.expertophthalmologywitness.com/nevada-expert-ophthalmology-witness/" TargetMode="External"/><Relationship Id="rId26" Type="http://schemas.openxmlformats.org/officeDocument/2006/relationships/hyperlink" Target="https://www.expertophthalmologywitness.com/new-jersey-expert-ophthalmology-witness/" TargetMode="External"/><Relationship Id="rId27" Type="http://schemas.openxmlformats.org/officeDocument/2006/relationships/hyperlink" Target="https://www.expertophthalmologywitness.com/new-mexico-expert-ophthalmology-witness/" TargetMode="External"/><Relationship Id="rId28" Type="http://schemas.openxmlformats.org/officeDocument/2006/relationships/hyperlink" Target="https://www.expertophthalmologywitness.com/new-york-expert-ophthalmology-witness/" TargetMode="External"/><Relationship Id="rId29" Type="http://schemas.openxmlformats.org/officeDocument/2006/relationships/hyperlink" Target="https://www.expertophthalmologywitness.com/north-carolina-expert-ophthalmology-witness/" TargetMode="External"/><Relationship Id="rId30" Type="http://schemas.openxmlformats.org/officeDocument/2006/relationships/hyperlink" Target="https://www.expertophthalmologywitness.com/ohio-expert-ophthalmology-witness/" TargetMode="External"/><Relationship Id="rId31" Type="http://schemas.openxmlformats.org/officeDocument/2006/relationships/hyperlink" Target="https://www.expertophthalmologywitness.com/oklahoma-expert-ophthalmology-witness/" TargetMode="External"/><Relationship Id="rId32" Type="http://schemas.openxmlformats.org/officeDocument/2006/relationships/hyperlink" Target="https://www.expertophthalmologywitness.com/oregon-expert-ophthalmology-witness/" TargetMode="External"/><Relationship Id="rId33" Type="http://schemas.openxmlformats.org/officeDocument/2006/relationships/hyperlink" Target="https://www.expertophthalmologywitness.com/pennsylvania-expert-ophthalmology-witness/" TargetMode="External"/><Relationship Id="rId34" Type="http://schemas.openxmlformats.org/officeDocument/2006/relationships/hyperlink" Target="https://www.expertophthalmologywitness.com/puerto-rico-expert-ophthalmology-witness/" TargetMode="External"/><Relationship Id="rId35" Type="http://schemas.openxmlformats.org/officeDocument/2006/relationships/hyperlink" Target="https://www.expertophthalmologywitness.com/rhose-island-expert-ophthalmology-witness-dr-todd-lefkowitz/" TargetMode="External"/><Relationship Id="rId36" Type="http://schemas.openxmlformats.org/officeDocument/2006/relationships/hyperlink" Target="https://www.expertophthalmologywitness.com/south-africa-expert-ophthalmology-witness/" TargetMode="External"/><Relationship Id="rId37" Type="http://schemas.openxmlformats.org/officeDocument/2006/relationships/hyperlink" Target="https://www.expertophthalmologywitness.com/south-dakota-expert-ophthalmology-witness/" TargetMode="External"/><Relationship Id="rId38" Type="http://schemas.openxmlformats.org/officeDocument/2006/relationships/hyperlink" Target="https://www.expertophthalmologywitness.com/tennessee-expert-ophthalmology-witness/" TargetMode="External"/><Relationship Id="rId39" Type="http://schemas.openxmlformats.org/officeDocument/2006/relationships/hyperlink" Target="https://www.expertophthalmologywitness.com/texas-expert-ophthalmology-witness/" TargetMode="External"/><Relationship Id="rId40" Type="http://schemas.openxmlformats.org/officeDocument/2006/relationships/hyperlink" Target="https://www.expertophthalmologywitness.com/us-virgin-islands-expert-ophthalmology-witness/" TargetMode="External"/><Relationship Id="rId41" Type="http://schemas.openxmlformats.org/officeDocument/2006/relationships/hyperlink" Target="https://www.expertophthalmologywitness.com/united-kingdom-expert-ophthalmology-witness/" TargetMode="External"/><Relationship Id="rId42" Type="http://schemas.openxmlformats.org/officeDocument/2006/relationships/hyperlink" Target="https://www.expertophthalmologywitness.com/utah-expert-ophthalmology-witness/" TargetMode="External"/><Relationship Id="rId43" Type="http://schemas.openxmlformats.org/officeDocument/2006/relationships/hyperlink" Target="https://www.expertophthalmologywitness.com/virginia-expert-ophthalmology-witness/" TargetMode="External"/><Relationship Id="rId44" Type="http://schemas.openxmlformats.org/officeDocument/2006/relationships/hyperlink" Target="https://www.expertophthalmologywitness.com/washington-expert-ophthalmology-witness/" TargetMode="External"/><Relationship Id="rId45" Type="http://schemas.openxmlformats.org/officeDocument/2006/relationships/hyperlink" Target="https://www.expertophthalmologywitness.com/west-virginia-expert-ophthalmology-witness/" TargetMode="External"/><Relationship Id="rId46" Type="http://schemas.openxmlformats.org/officeDocument/2006/relationships/hyperlink" Target="https://www.expertophthalmologywitness.com/wyoming-expert-ophthalmology-witness-dr-todd-lefkowitz/" TargetMode="External"/><Relationship Id="rId47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expertophthalmologywitness.com/about-me/" TargetMode="External"/><Relationship Id="rId2" Type="http://schemas.openxmlformats.org/officeDocument/2006/relationships/hyperlink" Target="https://www.expertophthalmologywitness.com/about-me/" TargetMode="External"/><Relationship Id="rId3" Type="http://schemas.openxmlformats.org/officeDocument/2006/relationships/hyperlink" Target="https://www.expertophthalmologywitness.com/about-me/" TargetMode="External"/><Relationship Id="rId4" Type="http://schemas.openxmlformats.org/officeDocument/2006/relationships/hyperlink" Target="https://www.expertophthalmologywitness.com/about-me/" TargetMode="External"/><Relationship Id="rId5" Type="http://schemas.openxmlformats.org/officeDocument/2006/relationships/hyperlink" Target="https://www.expertophthalmologywitness.com/about-me/" TargetMode="External"/><Relationship Id="rId6" Type="http://schemas.openxmlformats.org/officeDocument/2006/relationships/hyperlink" Target="https://www.expertophthalmologywitness.com/about-me/" TargetMode="External"/><Relationship Id="rId7" Type="http://schemas.openxmlformats.org/officeDocument/2006/relationships/hyperlink" Target="https://www.expertophthalmologywitness.com/about-me/" TargetMode="External"/><Relationship Id="rId8" Type="http://schemas.openxmlformats.org/officeDocument/2006/relationships/hyperlink" Target="https://www.expertophthalmologywitness.com/about-me/" TargetMode="External"/><Relationship Id="rId9" Type="http://schemas.openxmlformats.org/officeDocument/2006/relationships/hyperlink" Target="https://www.expertophthalmologywitness.com/ophthalmologist-expert-witness/" TargetMode="External"/><Relationship Id="rId10" Type="http://schemas.openxmlformats.org/officeDocument/2006/relationships/hyperlink" Target="https://www.expertophthalmologywitness.com/ophthalmologist-expert-witness/" TargetMode="External"/><Relationship Id="rId11" Type="http://schemas.openxmlformats.org/officeDocument/2006/relationships/hyperlink" Target="https://apps.legislature.ky.gov/law/statutes/statute.aspx?id=49312" TargetMode="External"/><Relationship Id="rId12" Type="http://schemas.openxmlformats.org/officeDocument/2006/relationships/hyperlink" Target="https://apps.legislature.ky.gov/law/statutes/statute.aspx?id=49312" TargetMode="External"/><Relationship Id="rId13" Type="http://schemas.openxmlformats.org/officeDocument/2006/relationships/hyperlink" Target="https://apps.legislature.ky.gov/law/statutes/statute.aspx?id=49312" TargetMode="External"/><Relationship Id="rId14" Type="http://schemas.openxmlformats.org/officeDocument/2006/relationships/hyperlink" Target="https://apps.legislature.ky.gov/law/acts/19RS/documents/0180.pdf" TargetMode="External"/><Relationship Id="rId15" Type="http://schemas.openxmlformats.org/officeDocument/2006/relationships/hyperlink" Target="https://apps.legislature.ky.gov/law/statutes/statute.aspx?id=58050" TargetMode="External"/><Relationship Id="rId16" Type="http://schemas.openxmlformats.org/officeDocument/2006/relationships/hyperlink" Target="https://www.expertophthalmologywitness.com/kentucky-expert-ophthalmology-witness/" TargetMode="External"/><Relationship Id="rId17" Type="http://schemas.openxmlformats.org/officeDocument/2006/relationships/hyperlink" Target="https://www.expertophthalmologywitness.com/about-me/" TargetMode="External"/><Relationship Id="rId18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B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5"/>
  </cols>
  <sheetData>
    <row r="1" customFormat="false" ht="25.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5" t="s">
        <v>5</v>
      </c>
    </row>
    <row r="6" customFormat="false" ht="15" hidden="false" customHeight="false" outlineLevel="0" collapsed="false">
      <c r="A6" s="3" t="s">
        <v>6</v>
      </c>
      <c r="B6" s="5" t="s">
        <v>7</v>
      </c>
    </row>
    <row r="7" customFormat="false" ht="15" hidden="false" customHeight="false" outlineLevel="0" collapsed="false">
      <c r="A7" s="3" t="s">
        <v>8</v>
      </c>
      <c r="B7" s="5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 t="s">
        <v>12</v>
      </c>
      <c r="B9" s="4" t="s">
        <v>13</v>
      </c>
    </row>
    <row r="10" customFormat="false" ht="15" hidden="false" customHeight="false" outlineLevel="0" collapsed="false">
      <c r="A10" s="3" t="s">
        <v>14</v>
      </c>
      <c r="B10" s="4" t="s">
        <v>15</v>
      </c>
    </row>
    <row r="11" customFormat="false" ht="15" hidden="false" customHeight="false" outlineLevel="0" collapsed="false">
      <c r="A11" s="3" t="s">
        <v>16</v>
      </c>
      <c r="B11" s="4" t="s">
        <v>17</v>
      </c>
    </row>
    <row r="13" customFormat="false" ht="15" hidden="false" customHeight="false" outlineLevel="0" collapsed="false">
      <c r="A13" s="6" t="s">
        <v>18</v>
      </c>
    </row>
    <row r="14" customFormat="false" ht="15" hidden="false" customHeight="false" outlineLevel="0" collapsed="false">
      <c r="A14" s="7" t="s">
        <v>19</v>
      </c>
      <c r="B14" s="8" t="n">
        <f aca="false">COUNTA('State Pages'!B5:B49)</f>
        <v>45</v>
      </c>
    </row>
    <row r="15" customFormat="false" ht="15" hidden="false" customHeight="false" outlineLevel="0" collapsed="false">
      <c r="A15" s="7" t="s">
        <v>20</v>
      </c>
      <c r="B15" s="8" t="n">
        <f aca="false">COUNTIF('State Pages'!C5:C49,"US state / DC")</f>
        <v>40</v>
      </c>
    </row>
    <row r="16" customFormat="false" ht="15" hidden="false" customHeight="false" outlineLevel="0" collapsed="false">
      <c r="A16" s="7" t="s">
        <v>21</v>
      </c>
      <c r="B16" s="8" t="n">
        <f aca="false">COUNTIF('State Pages'!C5:C49,"International / territory")</f>
        <v>5</v>
      </c>
    </row>
    <row r="17" customFormat="false" ht="15" hidden="false" customHeight="false" outlineLevel="0" collapsed="false">
      <c r="A17" s="7" t="s">
        <v>22</v>
      </c>
      <c r="B17" s="8" t="n">
        <f aca="false">COUNTIF('State Pages'!J5:J49,"Yes")</f>
        <v>45</v>
      </c>
    </row>
    <row r="18" customFormat="false" ht="15" hidden="false" customHeight="false" outlineLevel="0" collapsed="false">
      <c r="A18" s="7" t="s">
        <v>23</v>
      </c>
      <c r="B18" s="8" t="n">
        <f aca="false">COUNTIF('State Pages'!I5:I49,"&gt;0")</f>
        <v>0</v>
      </c>
    </row>
    <row r="19" customFormat="false" ht="15" hidden="false" customHeight="false" outlineLevel="0" collapsed="false">
      <c r="A19" s="7" t="s">
        <v>24</v>
      </c>
      <c r="B19" s="8" t="n">
        <f aca="false">COUNTIF('State Pages'!L5:L49,"Draft ready*")</f>
        <v>1</v>
      </c>
    </row>
    <row r="20" customFormat="false" ht="15" hidden="false" customHeight="false" outlineLevel="0" collapsed="false">
      <c r="A20" s="7" t="s">
        <v>25</v>
      </c>
      <c r="B20" s="8" t="n">
        <f aca="false">COUNTIF('State Pages'!L5:L49,"Live")</f>
        <v>0</v>
      </c>
    </row>
    <row r="21" customFormat="false" ht="15" hidden="false" customHeight="false" outlineLevel="0" collapsed="false">
      <c r="A21" s="7" t="s">
        <v>26</v>
      </c>
      <c r="B21" s="8" t="n">
        <f aca="false">COUNTIF('State Pages'!L5:L49,"Not started")</f>
        <v>44</v>
      </c>
    </row>
    <row r="22" customFormat="false" ht="15" hidden="false" customHeight="false" outlineLevel="0" collapsed="false">
      <c r="A22" s="7" t="s">
        <v>27</v>
      </c>
      <c r="B22" s="8" t="n">
        <f aca="false">COUNTA('Missing States'!A5:A15)</f>
        <v>11</v>
      </c>
    </row>
    <row r="23" customFormat="false" ht="15" hidden="false" customHeight="false" outlineLevel="0" collapsed="false">
      <c r="A23" s="7" t="s">
        <v>28</v>
      </c>
      <c r="B23" s="8" t="n">
        <f aca="false">COUNTIF('Feedback Tracker'!E5:E20,"Done")</f>
        <v>7</v>
      </c>
    </row>
    <row r="24" customFormat="false" ht="15" hidden="false" customHeight="false" outlineLevel="0" collapsed="false">
      <c r="A24" s="7" t="s">
        <v>29</v>
      </c>
      <c r="B24" s="8" t="n">
        <f aca="false">COUNTIF('Feedback Tracker'!E5:E20,"Open")</f>
        <v>2</v>
      </c>
    </row>
    <row r="25" customFormat="false" ht="15" hidden="false" customHeight="false" outlineLevel="0" collapsed="false">
      <c r="A25" s="7" t="s">
        <v>30</v>
      </c>
      <c r="B25" s="8" t="n">
        <f aca="false">COUNTA('Open Questions'!B5:B10)</f>
        <v>5</v>
      </c>
    </row>
    <row r="27" customFormat="false" ht="15" hidden="false" customHeight="false" outlineLevel="0" collapsed="false">
      <c r="A27" s="6" t="s">
        <v>31</v>
      </c>
    </row>
    <row r="28" customFormat="false" ht="15" hidden="false" customHeight="false" outlineLevel="0" collapsed="false">
      <c r="A28" s="3" t="s">
        <v>32</v>
      </c>
      <c r="B28" s="9" t="s">
        <v>33</v>
      </c>
    </row>
    <row r="29" customFormat="false" ht="15" hidden="false" customHeight="false" outlineLevel="0" collapsed="false">
      <c r="A29" s="3" t="s">
        <v>34</v>
      </c>
      <c r="B29" s="9" t="s">
        <v>35</v>
      </c>
    </row>
    <row r="30" customFormat="false" ht="15" hidden="false" customHeight="false" outlineLevel="0" collapsed="false">
      <c r="A30" s="3" t="s">
        <v>36</v>
      </c>
      <c r="B30" s="9" t="s">
        <v>37</v>
      </c>
    </row>
    <row r="31" customFormat="false" ht="15" hidden="false" customHeight="false" outlineLevel="0" collapsed="false">
      <c r="A31" s="3" t="s">
        <v>38</v>
      </c>
      <c r="B31" s="9" t="s">
        <v>39</v>
      </c>
    </row>
    <row r="32" customFormat="false" ht="15" hidden="false" customHeight="false" outlineLevel="0" collapsed="false">
      <c r="A32" s="3" t="s">
        <v>40</v>
      </c>
      <c r="B32" s="9" t="s">
        <v>41</v>
      </c>
    </row>
    <row r="33" customFormat="false" ht="15" hidden="false" customHeight="false" outlineLevel="0" collapsed="false">
      <c r="A33" s="3" t="s">
        <v>42</v>
      </c>
      <c r="B33" s="9" t="s">
        <v>43</v>
      </c>
    </row>
    <row r="35" customFormat="false" ht="15" hidden="false" customHeight="false" outlineLevel="0" collapsed="false">
      <c r="A35" s="10" t="s">
        <v>44</v>
      </c>
    </row>
  </sheetData>
  <hyperlinks>
    <hyperlink ref="B4" r:id="rId1" display="https://www.expertophthalmologywitness.com/"/>
    <hyperlink ref="B8" r:id="rId2" display="https://kunaldabiseo.github.io/eow-website/kentucky/"/>
    <hyperlink ref="B9" r:id="rId3" display="https://kunaldabiseo.github.io/eow-website/kentucky/updated-page.html"/>
    <hyperlink ref="B10" r:id="rId4" display="https://www.expertophthalmologywitness.com/kentucky-expert-ophthalmology-witness/"/>
    <hyperlink ref="B11" r:id="rId5" display="https://github.com/kunaldabiseo/eow-website/tree/main/kentuck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A3BF"/>
    <pageSetUpPr fitToPage="false"/>
  </sheetPr>
  <dimension ref="A1:M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48"/>
    <col collapsed="false" customWidth="true" hidden="false" outlineLevel="0" max="5" min="5" style="0" width="44"/>
    <col collapsed="false" customWidth="true" hidden="false" outlineLevel="0" max="6" min="6" style="0" width="9"/>
    <col collapsed="false" customWidth="true" hidden="false" outlineLevel="0" max="7" min="7" style="0" width="60"/>
    <col collapsed="false" customWidth="true" hidden="false" outlineLevel="0" max="8" min="8" style="0" width="9"/>
    <col collapsed="false" customWidth="true" hidden="false" outlineLevel="0" max="10" min="9" style="0" width="13"/>
    <col collapsed="false" customWidth="true" hidden="false" outlineLevel="0" max="11" min="11" style="0" width="70"/>
    <col collapsed="false" customWidth="true" hidden="false" outlineLevel="0" max="12" min="12" style="0" width="26"/>
    <col collapsed="false" customWidth="true" hidden="false" outlineLevel="0" max="13" min="13" style="0" width="44"/>
  </cols>
  <sheetData>
    <row r="1" customFormat="false" ht="25.5" hidden="false" customHeight="true" outlineLevel="0" collapsed="false">
      <c r="A1" s="1" t="s">
        <v>45</v>
      </c>
    </row>
    <row r="2" customFormat="false" ht="15" hidden="false" customHeight="false" outlineLevel="0" collapsed="false">
      <c r="A2" s="2" t="s">
        <v>46</v>
      </c>
    </row>
    <row r="4" customFormat="false" ht="30" hidden="false" customHeight="true" outlineLevel="0" collapsed="false">
      <c r="A4" s="11" t="s">
        <v>47</v>
      </c>
      <c r="B4" s="11" t="s">
        <v>48</v>
      </c>
      <c r="C4" s="11" t="s">
        <v>49</v>
      </c>
      <c r="D4" s="11" t="s">
        <v>50</v>
      </c>
      <c r="E4" s="11" t="s">
        <v>51</v>
      </c>
      <c r="F4" s="11" t="s">
        <v>52</v>
      </c>
      <c r="G4" s="11" t="s">
        <v>53</v>
      </c>
      <c r="H4" s="11" t="s">
        <v>54</v>
      </c>
      <c r="I4" s="11" t="s">
        <v>55</v>
      </c>
      <c r="J4" s="11" t="s">
        <v>56</v>
      </c>
      <c r="K4" s="11" t="s">
        <v>57</v>
      </c>
      <c r="L4" s="11" t="s">
        <v>58</v>
      </c>
      <c r="M4" s="11" t="s">
        <v>59</v>
      </c>
    </row>
    <row r="5" customFormat="false" ht="91" hidden="false" customHeight="false" outlineLevel="0" collapsed="false">
      <c r="A5" s="12" t="n">
        <v>1</v>
      </c>
      <c r="B5" s="12" t="s">
        <v>60</v>
      </c>
      <c r="C5" s="12" t="s">
        <v>61</v>
      </c>
      <c r="D5" s="13" t="s">
        <v>62</v>
      </c>
      <c r="E5" s="14" t="s">
        <v>63</v>
      </c>
      <c r="F5" s="12" t="n">
        <f aca="false">LEN(E5)</f>
        <v>36</v>
      </c>
      <c r="G5" s="14" t="s">
        <v>64</v>
      </c>
      <c r="H5" s="12" t="n">
        <f aca="false">LEN(G5)</f>
        <v>96</v>
      </c>
      <c r="I5" s="12" t="n">
        <v>0</v>
      </c>
      <c r="J5" s="12" t="s">
        <v>65</v>
      </c>
      <c r="K5" s="14" t="s">
        <v>66</v>
      </c>
      <c r="L5" s="12" t="s">
        <v>67</v>
      </c>
      <c r="M5" s="12"/>
    </row>
    <row r="6" customFormat="false" ht="91" hidden="false" customHeight="false" outlineLevel="0" collapsed="false">
      <c r="A6" s="15" t="n">
        <v>2</v>
      </c>
      <c r="B6" s="15" t="s">
        <v>68</v>
      </c>
      <c r="C6" s="15" t="s">
        <v>61</v>
      </c>
      <c r="D6" s="16" t="s">
        <v>69</v>
      </c>
      <c r="E6" s="17" t="s">
        <v>70</v>
      </c>
      <c r="F6" s="15" t="n">
        <f aca="false">LEN(E6)</f>
        <v>35</v>
      </c>
      <c r="G6" s="17" t="s">
        <v>71</v>
      </c>
      <c r="H6" s="15" t="n">
        <f aca="false">LEN(G6)</f>
        <v>94</v>
      </c>
      <c r="I6" s="15" t="n">
        <v>0</v>
      </c>
      <c r="J6" s="15" t="s">
        <v>65</v>
      </c>
      <c r="K6" s="17" t="s">
        <v>66</v>
      </c>
      <c r="L6" s="15" t="s">
        <v>67</v>
      </c>
      <c r="M6" s="15"/>
    </row>
    <row r="7" customFormat="false" ht="91" hidden="false" customHeight="false" outlineLevel="0" collapsed="false">
      <c r="A7" s="12" t="n">
        <v>3</v>
      </c>
      <c r="B7" s="12" t="s">
        <v>72</v>
      </c>
      <c r="C7" s="12" t="s">
        <v>61</v>
      </c>
      <c r="D7" s="13" t="s">
        <v>73</v>
      </c>
      <c r="E7" s="14" t="s">
        <v>74</v>
      </c>
      <c r="F7" s="12" t="n">
        <f aca="false">LEN(E7)</f>
        <v>36</v>
      </c>
      <c r="G7" s="14" t="s">
        <v>75</v>
      </c>
      <c r="H7" s="12" t="n">
        <f aca="false">LEN(G7)</f>
        <v>96</v>
      </c>
      <c r="I7" s="12" t="n">
        <v>0</v>
      </c>
      <c r="J7" s="12" t="s">
        <v>65</v>
      </c>
      <c r="K7" s="14" t="s">
        <v>66</v>
      </c>
      <c r="L7" s="12" t="s">
        <v>67</v>
      </c>
      <c r="M7" s="12"/>
    </row>
    <row r="8" customFormat="false" ht="91" hidden="false" customHeight="false" outlineLevel="0" collapsed="false">
      <c r="A8" s="15" t="n">
        <v>4</v>
      </c>
      <c r="B8" s="15" t="s">
        <v>76</v>
      </c>
      <c r="C8" s="15" t="s">
        <v>61</v>
      </c>
      <c r="D8" s="16" t="s">
        <v>77</v>
      </c>
      <c r="E8" s="17" t="s">
        <v>78</v>
      </c>
      <c r="F8" s="15" t="n">
        <f aca="false">LEN(E8)</f>
        <v>39</v>
      </c>
      <c r="G8" s="17" t="s">
        <v>79</v>
      </c>
      <c r="H8" s="15" t="n">
        <f aca="false">LEN(G8)</f>
        <v>102</v>
      </c>
      <c r="I8" s="15" t="n">
        <v>0</v>
      </c>
      <c r="J8" s="15" t="s">
        <v>65</v>
      </c>
      <c r="K8" s="17" t="s">
        <v>66</v>
      </c>
      <c r="L8" s="15" t="s">
        <v>67</v>
      </c>
      <c r="M8" s="15"/>
    </row>
    <row r="9" customFormat="false" ht="91" hidden="false" customHeight="false" outlineLevel="0" collapsed="false">
      <c r="A9" s="12" t="n">
        <v>5</v>
      </c>
      <c r="B9" s="12" t="s">
        <v>80</v>
      </c>
      <c r="C9" s="12" t="s">
        <v>81</v>
      </c>
      <c r="D9" s="13" t="s">
        <v>82</v>
      </c>
      <c r="E9" s="14" t="s">
        <v>83</v>
      </c>
      <c r="F9" s="12" t="n">
        <f aca="false">LEN(E9)</f>
        <v>35</v>
      </c>
      <c r="G9" s="14" t="s">
        <v>84</v>
      </c>
      <c r="H9" s="12" t="n">
        <f aca="false">LEN(G9)</f>
        <v>163</v>
      </c>
      <c r="I9" s="12" t="n">
        <v>0</v>
      </c>
      <c r="J9" s="12" t="s">
        <v>65</v>
      </c>
      <c r="K9" s="14" t="s">
        <v>85</v>
      </c>
      <c r="L9" s="12" t="s">
        <v>67</v>
      </c>
      <c r="M9" s="12"/>
    </row>
    <row r="10" customFormat="false" ht="91" hidden="false" customHeight="false" outlineLevel="0" collapsed="false">
      <c r="A10" s="15" t="n">
        <v>6</v>
      </c>
      <c r="B10" s="15" t="s">
        <v>86</v>
      </c>
      <c r="C10" s="15" t="s">
        <v>61</v>
      </c>
      <c r="D10" s="16" t="s">
        <v>87</v>
      </c>
      <c r="E10" s="17" t="s">
        <v>88</v>
      </c>
      <c r="F10" s="15" t="n">
        <f aca="false">LEN(E10)</f>
        <v>37</v>
      </c>
      <c r="G10" s="17" t="s">
        <v>89</v>
      </c>
      <c r="H10" s="15" t="n">
        <f aca="false">LEN(G10)</f>
        <v>98</v>
      </c>
      <c r="I10" s="15" t="n">
        <v>0</v>
      </c>
      <c r="J10" s="15" t="s">
        <v>65</v>
      </c>
      <c r="K10" s="17" t="s">
        <v>66</v>
      </c>
      <c r="L10" s="15" t="s">
        <v>67</v>
      </c>
      <c r="M10" s="15"/>
    </row>
    <row r="11" customFormat="false" ht="91" hidden="false" customHeight="false" outlineLevel="0" collapsed="false">
      <c r="A11" s="12" t="n">
        <v>7</v>
      </c>
      <c r="B11" s="12" t="s">
        <v>90</v>
      </c>
      <c r="C11" s="12" t="s">
        <v>61</v>
      </c>
      <c r="D11" s="13" t="s">
        <v>91</v>
      </c>
      <c r="E11" s="14" t="s">
        <v>92</v>
      </c>
      <c r="F11" s="12" t="n">
        <f aca="false">LEN(E11)</f>
        <v>40</v>
      </c>
      <c r="G11" s="14" t="s">
        <v>93</v>
      </c>
      <c r="H11" s="12" t="n">
        <f aca="false">LEN(G11)</f>
        <v>104</v>
      </c>
      <c r="I11" s="12" t="n">
        <v>0</v>
      </c>
      <c r="J11" s="12" t="s">
        <v>65</v>
      </c>
      <c r="K11" s="14" t="s">
        <v>66</v>
      </c>
      <c r="L11" s="12" t="s">
        <v>67</v>
      </c>
      <c r="M11" s="12"/>
    </row>
    <row r="12" customFormat="false" ht="91" hidden="false" customHeight="false" outlineLevel="0" collapsed="false">
      <c r="A12" s="15" t="n">
        <v>8</v>
      </c>
      <c r="B12" s="15" t="s">
        <v>94</v>
      </c>
      <c r="C12" s="15" t="s">
        <v>61</v>
      </c>
      <c r="D12" s="16" t="s">
        <v>95</v>
      </c>
      <c r="E12" s="17" t="s">
        <v>96</v>
      </c>
      <c r="F12" s="15" t="n">
        <f aca="false">LEN(E12)</f>
        <v>49</v>
      </c>
      <c r="G12" s="17" t="s">
        <v>97</v>
      </c>
      <c r="H12" s="15" t="n">
        <f aca="false">LEN(G12)</f>
        <v>122</v>
      </c>
      <c r="I12" s="15" t="n">
        <v>0</v>
      </c>
      <c r="J12" s="15" t="s">
        <v>65</v>
      </c>
      <c r="K12" s="17" t="s">
        <v>66</v>
      </c>
      <c r="L12" s="15" t="s">
        <v>67</v>
      </c>
      <c r="M12" s="15"/>
    </row>
    <row r="13" customFormat="false" ht="91" hidden="false" customHeight="false" outlineLevel="0" collapsed="false">
      <c r="A13" s="12" t="n">
        <v>9</v>
      </c>
      <c r="B13" s="12" t="s">
        <v>98</v>
      </c>
      <c r="C13" s="12" t="s">
        <v>61</v>
      </c>
      <c r="D13" s="13" t="s">
        <v>99</v>
      </c>
      <c r="E13" s="14" t="s">
        <v>100</v>
      </c>
      <c r="F13" s="12" t="n">
        <f aca="false">LEN(E13)</f>
        <v>57</v>
      </c>
      <c r="G13" s="14" t="s">
        <v>101</v>
      </c>
      <c r="H13" s="12" t="n">
        <f aca="false">LEN(G13)</f>
        <v>96</v>
      </c>
      <c r="I13" s="12" t="n">
        <v>0</v>
      </c>
      <c r="J13" s="12" t="s">
        <v>65</v>
      </c>
      <c r="K13" s="14" t="s">
        <v>66</v>
      </c>
      <c r="L13" s="12" t="s">
        <v>67</v>
      </c>
      <c r="M13" s="12"/>
    </row>
    <row r="14" customFormat="false" ht="91" hidden="false" customHeight="false" outlineLevel="0" collapsed="false">
      <c r="A14" s="15" t="n">
        <v>10</v>
      </c>
      <c r="B14" s="15" t="s">
        <v>102</v>
      </c>
      <c r="C14" s="15" t="s">
        <v>61</v>
      </c>
      <c r="D14" s="16" t="s">
        <v>103</v>
      </c>
      <c r="E14" s="17" t="s">
        <v>104</v>
      </c>
      <c r="F14" s="15" t="n">
        <f aca="false">LEN(E14)</f>
        <v>36</v>
      </c>
      <c r="G14" s="17" t="s">
        <v>105</v>
      </c>
      <c r="H14" s="15" t="n">
        <f aca="false">LEN(G14)</f>
        <v>96</v>
      </c>
      <c r="I14" s="15" t="n">
        <v>0</v>
      </c>
      <c r="J14" s="15" t="s">
        <v>65</v>
      </c>
      <c r="K14" s="17" t="s">
        <v>66</v>
      </c>
      <c r="L14" s="15" t="s">
        <v>67</v>
      </c>
      <c r="M14" s="15"/>
    </row>
    <row r="15" customFormat="false" ht="91" hidden="false" customHeight="false" outlineLevel="0" collapsed="false">
      <c r="A15" s="12" t="n">
        <v>11</v>
      </c>
      <c r="B15" s="12" t="s">
        <v>106</v>
      </c>
      <c r="C15" s="12" t="s">
        <v>61</v>
      </c>
      <c r="D15" s="13" t="s">
        <v>107</v>
      </c>
      <c r="E15" s="14" t="s">
        <v>108</v>
      </c>
      <c r="F15" s="12" t="n">
        <f aca="false">LEN(E15)</f>
        <v>35</v>
      </c>
      <c r="G15" s="14" t="s">
        <v>109</v>
      </c>
      <c r="H15" s="12" t="n">
        <f aca="false">LEN(G15)</f>
        <v>94</v>
      </c>
      <c r="I15" s="12" t="n">
        <v>0</v>
      </c>
      <c r="J15" s="12" t="s">
        <v>65</v>
      </c>
      <c r="K15" s="14" t="s">
        <v>66</v>
      </c>
      <c r="L15" s="12" t="s">
        <v>67</v>
      </c>
      <c r="M15" s="12"/>
    </row>
    <row r="16" customFormat="false" ht="91" hidden="false" customHeight="false" outlineLevel="0" collapsed="false">
      <c r="A16" s="15" t="n">
        <v>12</v>
      </c>
      <c r="B16" s="15" t="s">
        <v>110</v>
      </c>
      <c r="C16" s="15" t="s">
        <v>61</v>
      </c>
      <c r="D16" s="16" t="s">
        <v>111</v>
      </c>
      <c r="E16" s="17" t="s">
        <v>112</v>
      </c>
      <c r="F16" s="15" t="n">
        <f aca="false">LEN(E16)</f>
        <v>34</v>
      </c>
      <c r="G16" s="17" t="s">
        <v>113</v>
      </c>
      <c r="H16" s="15" t="n">
        <f aca="false">LEN(G16)</f>
        <v>92</v>
      </c>
      <c r="I16" s="15" t="n">
        <v>0</v>
      </c>
      <c r="J16" s="15" t="s">
        <v>65</v>
      </c>
      <c r="K16" s="17" t="s">
        <v>66</v>
      </c>
      <c r="L16" s="15" t="s">
        <v>67</v>
      </c>
      <c r="M16" s="15"/>
    </row>
    <row r="17" customFormat="false" ht="91" hidden="false" customHeight="false" outlineLevel="0" collapsed="false">
      <c r="A17" s="12" t="n">
        <v>13</v>
      </c>
      <c r="B17" s="12" t="s">
        <v>114</v>
      </c>
      <c r="C17" s="12" t="s">
        <v>61</v>
      </c>
      <c r="D17" s="13" t="s">
        <v>115</v>
      </c>
      <c r="E17" s="14" t="s">
        <v>116</v>
      </c>
      <c r="F17" s="12" t="n">
        <f aca="false">LEN(E17)</f>
        <v>37</v>
      </c>
      <c r="G17" s="14" t="s">
        <v>117</v>
      </c>
      <c r="H17" s="12" t="n">
        <f aca="false">LEN(G17)</f>
        <v>98</v>
      </c>
      <c r="I17" s="12" t="n">
        <v>0</v>
      </c>
      <c r="J17" s="12" t="s">
        <v>65</v>
      </c>
      <c r="K17" s="14" t="s">
        <v>66</v>
      </c>
      <c r="L17" s="12" t="s">
        <v>67</v>
      </c>
      <c r="M17" s="12"/>
    </row>
    <row r="18" customFormat="false" ht="91" hidden="false" customHeight="false" outlineLevel="0" collapsed="false">
      <c r="A18" s="15" t="n">
        <v>14</v>
      </c>
      <c r="B18" s="15" t="s">
        <v>118</v>
      </c>
      <c r="C18" s="15" t="s">
        <v>61</v>
      </c>
      <c r="D18" s="16" t="s">
        <v>119</v>
      </c>
      <c r="E18" s="17" t="s">
        <v>120</v>
      </c>
      <c r="F18" s="15" t="n">
        <f aca="false">LEN(E18)</f>
        <v>36</v>
      </c>
      <c r="G18" s="17" t="s">
        <v>121</v>
      </c>
      <c r="H18" s="15" t="n">
        <f aca="false">LEN(G18)</f>
        <v>96</v>
      </c>
      <c r="I18" s="15" t="n">
        <v>0</v>
      </c>
      <c r="J18" s="15" t="s">
        <v>65</v>
      </c>
      <c r="K18" s="17" t="s">
        <v>66</v>
      </c>
      <c r="L18" s="15" t="s">
        <v>67</v>
      </c>
      <c r="M18" s="15"/>
    </row>
    <row r="19" customFormat="false" ht="91" hidden="false" customHeight="false" outlineLevel="0" collapsed="false">
      <c r="A19" s="12" t="n">
        <v>15</v>
      </c>
      <c r="B19" s="12" t="s">
        <v>122</v>
      </c>
      <c r="C19" s="12" t="s">
        <v>61</v>
      </c>
      <c r="D19" s="13" t="s">
        <v>123</v>
      </c>
      <c r="E19" s="14" t="s">
        <v>124</v>
      </c>
      <c r="F19" s="12" t="n">
        <f aca="false">LEN(E19)</f>
        <v>35</v>
      </c>
      <c r="G19" s="14" t="s">
        <v>125</v>
      </c>
      <c r="H19" s="12" t="n">
        <f aca="false">LEN(G19)</f>
        <v>94</v>
      </c>
      <c r="I19" s="12" t="n">
        <v>0</v>
      </c>
      <c r="J19" s="12" t="s">
        <v>65</v>
      </c>
      <c r="K19" s="14" t="s">
        <v>66</v>
      </c>
      <c r="L19" s="12" t="s">
        <v>67</v>
      </c>
      <c r="M19" s="12"/>
    </row>
    <row r="20" customFormat="false" ht="91" hidden="false" customHeight="false" outlineLevel="0" collapsed="false">
      <c r="A20" s="15" t="n">
        <v>16</v>
      </c>
      <c r="B20" s="15" t="s">
        <v>9</v>
      </c>
      <c r="C20" s="15" t="s">
        <v>61</v>
      </c>
      <c r="D20" s="16" t="s">
        <v>15</v>
      </c>
      <c r="E20" s="17" t="s">
        <v>126</v>
      </c>
      <c r="F20" s="15" t="n">
        <f aca="false">LEN(E20)</f>
        <v>37</v>
      </c>
      <c r="G20" s="17" t="s">
        <v>127</v>
      </c>
      <c r="H20" s="15" t="n">
        <f aca="false">LEN(G20)</f>
        <v>88</v>
      </c>
      <c r="I20" s="15" t="n">
        <v>0</v>
      </c>
      <c r="J20" s="15" t="s">
        <v>65</v>
      </c>
      <c r="K20" s="17" t="s">
        <v>66</v>
      </c>
      <c r="L20" s="15" t="s">
        <v>128</v>
      </c>
      <c r="M20" s="16" t="s">
        <v>11</v>
      </c>
    </row>
    <row r="21" customFormat="false" ht="91" hidden="false" customHeight="false" outlineLevel="0" collapsed="false">
      <c r="A21" s="12" t="n">
        <v>17</v>
      </c>
      <c r="B21" s="12" t="s">
        <v>129</v>
      </c>
      <c r="C21" s="12" t="s">
        <v>61</v>
      </c>
      <c r="D21" s="13" t="s">
        <v>130</v>
      </c>
      <c r="E21" s="14" t="s">
        <v>131</v>
      </c>
      <c r="F21" s="12" t="n">
        <f aca="false">LEN(E21)</f>
        <v>38</v>
      </c>
      <c r="G21" s="14" t="s">
        <v>132</v>
      </c>
      <c r="H21" s="12" t="n">
        <f aca="false">LEN(G21)</f>
        <v>100</v>
      </c>
      <c r="I21" s="12" t="n">
        <v>0</v>
      </c>
      <c r="J21" s="12" t="s">
        <v>65</v>
      </c>
      <c r="K21" s="14" t="s">
        <v>66</v>
      </c>
      <c r="L21" s="12" t="s">
        <v>67</v>
      </c>
      <c r="M21" s="12"/>
    </row>
    <row r="22" customFormat="false" ht="91" hidden="false" customHeight="false" outlineLevel="0" collapsed="false">
      <c r="A22" s="15" t="n">
        <v>18</v>
      </c>
      <c r="B22" s="15" t="s">
        <v>133</v>
      </c>
      <c r="C22" s="15" t="s">
        <v>61</v>
      </c>
      <c r="D22" s="16" t="s">
        <v>134</v>
      </c>
      <c r="E22" s="17" t="s">
        <v>135</v>
      </c>
      <c r="F22" s="15" t="n">
        <f aca="false">LEN(E22)</f>
        <v>42</v>
      </c>
      <c r="G22" s="17" t="s">
        <v>136</v>
      </c>
      <c r="H22" s="15" t="n">
        <f aca="false">LEN(G22)</f>
        <v>108</v>
      </c>
      <c r="I22" s="15" t="n">
        <v>0</v>
      </c>
      <c r="J22" s="15" t="s">
        <v>65</v>
      </c>
      <c r="K22" s="17" t="s">
        <v>66</v>
      </c>
      <c r="L22" s="15" t="s">
        <v>67</v>
      </c>
      <c r="M22" s="15"/>
    </row>
    <row r="23" customFormat="false" ht="91" hidden="false" customHeight="false" outlineLevel="0" collapsed="false">
      <c r="A23" s="12" t="n">
        <v>19</v>
      </c>
      <c r="B23" s="12" t="s">
        <v>137</v>
      </c>
      <c r="C23" s="12" t="s">
        <v>61</v>
      </c>
      <c r="D23" s="13" t="s">
        <v>138</v>
      </c>
      <c r="E23" s="14" t="s">
        <v>139</v>
      </c>
      <c r="F23" s="12" t="n">
        <f aca="false">LEN(E23)</f>
        <v>37</v>
      </c>
      <c r="G23" s="14" t="s">
        <v>140</v>
      </c>
      <c r="H23" s="12" t="n">
        <f aca="false">LEN(G23)</f>
        <v>98</v>
      </c>
      <c r="I23" s="12" t="n">
        <v>0</v>
      </c>
      <c r="J23" s="12" t="s">
        <v>65</v>
      </c>
      <c r="K23" s="14" t="s">
        <v>66</v>
      </c>
      <c r="L23" s="12" t="s">
        <v>67</v>
      </c>
      <c r="M23" s="12"/>
    </row>
    <row r="24" customFormat="false" ht="91" hidden="false" customHeight="false" outlineLevel="0" collapsed="false">
      <c r="A24" s="15" t="n">
        <v>20</v>
      </c>
      <c r="B24" s="15" t="s">
        <v>141</v>
      </c>
      <c r="C24" s="15" t="s">
        <v>61</v>
      </c>
      <c r="D24" s="16" t="s">
        <v>142</v>
      </c>
      <c r="E24" s="17" t="s">
        <v>143</v>
      </c>
      <c r="F24" s="15" t="n">
        <f aca="false">LEN(E24)</f>
        <v>38</v>
      </c>
      <c r="G24" s="17" t="s">
        <v>144</v>
      </c>
      <c r="H24" s="15" t="n">
        <f aca="false">LEN(G24)</f>
        <v>100</v>
      </c>
      <c r="I24" s="15" t="n">
        <v>0</v>
      </c>
      <c r="J24" s="15" t="s">
        <v>65</v>
      </c>
      <c r="K24" s="17" t="s">
        <v>66</v>
      </c>
      <c r="L24" s="15" t="s">
        <v>67</v>
      </c>
      <c r="M24" s="15"/>
    </row>
    <row r="25" customFormat="false" ht="91" hidden="false" customHeight="false" outlineLevel="0" collapsed="false">
      <c r="A25" s="12" t="n">
        <v>21</v>
      </c>
      <c r="B25" s="12" t="s">
        <v>145</v>
      </c>
      <c r="C25" s="12" t="s">
        <v>61</v>
      </c>
      <c r="D25" s="13" t="s">
        <v>146</v>
      </c>
      <c r="E25" s="14" t="s">
        <v>147</v>
      </c>
      <c r="F25" s="12" t="n">
        <f aca="false">LEN(E25)</f>
        <v>40</v>
      </c>
      <c r="G25" s="14" t="s">
        <v>148</v>
      </c>
      <c r="H25" s="12" t="n">
        <f aca="false">LEN(G25)</f>
        <v>104</v>
      </c>
      <c r="I25" s="12" t="n">
        <v>0</v>
      </c>
      <c r="J25" s="12" t="s">
        <v>65</v>
      </c>
      <c r="K25" s="14" t="s">
        <v>66</v>
      </c>
      <c r="L25" s="12" t="s">
        <v>67</v>
      </c>
      <c r="M25" s="12"/>
    </row>
    <row r="26" customFormat="false" ht="91" hidden="false" customHeight="false" outlineLevel="0" collapsed="false">
      <c r="A26" s="15" t="n">
        <v>22</v>
      </c>
      <c r="B26" s="15" t="s">
        <v>149</v>
      </c>
      <c r="C26" s="15" t="s">
        <v>61</v>
      </c>
      <c r="D26" s="16" t="s">
        <v>150</v>
      </c>
      <c r="E26" s="17" t="s">
        <v>151</v>
      </c>
      <c r="F26" s="15" t="n">
        <f aca="false">LEN(E26)</f>
        <v>37</v>
      </c>
      <c r="G26" s="17" t="s">
        <v>152</v>
      </c>
      <c r="H26" s="15" t="n">
        <f aca="false">LEN(G26)</f>
        <v>98</v>
      </c>
      <c r="I26" s="15" t="n">
        <v>0</v>
      </c>
      <c r="J26" s="15" t="s">
        <v>65</v>
      </c>
      <c r="K26" s="17" t="s">
        <v>66</v>
      </c>
      <c r="L26" s="15" t="s">
        <v>67</v>
      </c>
      <c r="M26" s="15"/>
    </row>
    <row r="27" customFormat="false" ht="91" hidden="false" customHeight="false" outlineLevel="0" collapsed="false">
      <c r="A27" s="12" t="n">
        <v>23</v>
      </c>
      <c r="B27" s="12" t="s">
        <v>153</v>
      </c>
      <c r="C27" s="12" t="s">
        <v>61</v>
      </c>
      <c r="D27" s="13" t="s">
        <v>154</v>
      </c>
      <c r="E27" s="14" t="s">
        <v>155</v>
      </c>
      <c r="F27" s="12" t="n">
        <f aca="false">LEN(E27)</f>
        <v>36</v>
      </c>
      <c r="G27" s="14" t="s">
        <v>156</v>
      </c>
      <c r="H27" s="12" t="n">
        <f aca="false">LEN(G27)</f>
        <v>96</v>
      </c>
      <c r="I27" s="12" t="n">
        <v>0</v>
      </c>
      <c r="J27" s="12" t="s">
        <v>65</v>
      </c>
      <c r="K27" s="14" t="s">
        <v>66</v>
      </c>
      <c r="L27" s="12" t="s">
        <v>67</v>
      </c>
      <c r="M27" s="12"/>
    </row>
    <row r="28" customFormat="false" ht="91" hidden="false" customHeight="false" outlineLevel="0" collapsed="false">
      <c r="A28" s="15" t="n">
        <v>24</v>
      </c>
      <c r="B28" s="15" t="s">
        <v>157</v>
      </c>
      <c r="C28" s="15" t="s">
        <v>61</v>
      </c>
      <c r="D28" s="16" t="s">
        <v>158</v>
      </c>
      <c r="E28" s="17" t="s">
        <v>159</v>
      </c>
      <c r="F28" s="15" t="n">
        <f aca="false">LEN(E28)</f>
        <v>35</v>
      </c>
      <c r="G28" s="17" t="s">
        <v>160</v>
      </c>
      <c r="H28" s="15" t="n">
        <f aca="false">LEN(G28)</f>
        <v>94</v>
      </c>
      <c r="I28" s="15" t="n">
        <v>0</v>
      </c>
      <c r="J28" s="15" t="s">
        <v>65</v>
      </c>
      <c r="K28" s="17" t="s">
        <v>66</v>
      </c>
      <c r="L28" s="15" t="s">
        <v>67</v>
      </c>
      <c r="M28" s="15"/>
    </row>
    <row r="29" customFormat="false" ht="91" hidden="false" customHeight="false" outlineLevel="0" collapsed="false">
      <c r="A29" s="12" t="n">
        <v>25</v>
      </c>
      <c r="B29" s="12" t="s">
        <v>161</v>
      </c>
      <c r="C29" s="12" t="s">
        <v>61</v>
      </c>
      <c r="D29" s="13" t="s">
        <v>162</v>
      </c>
      <c r="E29" s="14" t="s">
        <v>163</v>
      </c>
      <c r="F29" s="12" t="n">
        <f aca="false">LEN(E29)</f>
        <v>39</v>
      </c>
      <c r="G29" s="14" t="s">
        <v>164</v>
      </c>
      <c r="H29" s="12" t="n">
        <f aca="false">LEN(G29)</f>
        <v>102</v>
      </c>
      <c r="I29" s="12" t="n">
        <v>0</v>
      </c>
      <c r="J29" s="12" t="s">
        <v>65</v>
      </c>
      <c r="K29" s="14" t="s">
        <v>66</v>
      </c>
      <c r="L29" s="12" t="s">
        <v>67</v>
      </c>
      <c r="M29" s="12"/>
    </row>
    <row r="30" customFormat="false" ht="91" hidden="false" customHeight="false" outlineLevel="0" collapsed="false">
      <c r="A30" s="15" t="n">
        <v>26</v>
      </c>
      <c r="B30" s="15" t="s">
        <v>165</v>
      </c>
      <c r="C30" s="15" t="s">
        <v>61</v>
      </c>
      <c r="D30" s="16" t="s">
        <v>166</v>
      </c>
      <c r="E30" s="17" t="s">
        <v>167</v>
      </c>
      <c r="F30" s="15" t="n">
        <f aca="false">LEN(E30)</f>
        <v>39</v>
      </c>
      <c r="G30" s="17" t="s">
        <v>168</v>
      </c>
      <c r="H30" s="15" t="n">
        <f aca="false">LEN(G30)</f>
        <v>102</v>
      </c>
      <c r="I30" s="15" t="n">
        <v>0</v>
      </c>
      <c r="J30" s="15" t="s">
        <v>65</v>
      </c>
      <c r="K30" s="17" t="s">
        <v>66</v>
      </c>
      <c r="L30" s="15" t="s">
        <v>67</v>
      </c>
      <c r="M30" s="15"/>
    </row>
    <row r="31" customFormat="false" ht="91" hidden="false" customHeight="false" outlineLevel="0" collapsed="false">
      <c r="A31" s="12" t="n">
        <v>27</v>
      </c>
      <c r="B31" s="12" t="s">
        <v>169</v>
      </c>
      <c r="C31" s="12" t="s">
        <v>61</v>
      </c>
      <c r="D31" s="13" t="s">
        <v>170</v>
      </c>
      <c r="E31" s="14" t="s">
        <v>171</v>
      </c>
      <c r="F31" s="12" t="n">
        <f aca="false">LEN(E31)</f>
        <v>37</v>
      </c>
      <c r="G31" s="14" t="s">
        <v>172</v>
      </c>
      <c r="H31" s="12" t="n">
        <f aca="false">LEN(G31)</f>
        <v>98</v>
      </c>
      <c r="I31" s="12" t="n">
        <v>0</v>
      </c>
      <c r="J31" s="12" t="s">
        <v>65</v>
      </c>
      <c r="K31" s="14" t="s">
        <v>66</v>
      </c>
      <c r="L31" s="12" t="s">
        <v>67</v>
      </c>
      <c r="M31" s="12"/>
    </row>
    <row r="32" customFormat="false" ht="91" hidden="false" customHeight="false" outlineLevel="0" collapsed="false">
      <c r="A32" s="15" t="n">
        <v>28</v>
      </c>
      <c r="B32" s="15" t="s">
        <v>173</v>
      </c>
      <c r="C32" s="15" t="s">
        <v>61</v>
      </c>
      <c r="D32" s="16" t="s">
        <v>174</v>
      </c>
      <c r="E32" s="17" t="s">
        <v>175</v>
      </c>
      <c r="F32" s="15" t="n">
        <f aca="false">LEN(E32)</f>
        <v>43</v>
      </c>
      <c r="G32" s="17" t="s">
        <v>176</v>
      </c>
      <c r="H32" s="15" t="n">
        <f aca="false">LEN(G32)</f>
        <v>110</v>
      </c>
      <c r="I32" s="15" t="n">
        <v>0</v>
      </c>
      <c r="J32" s="15" t="s">
        <v>65</v>
      </c>
      <c r="K32" s="17" t="s">
        <v>66</v>
      </c>
      <c r="L32" s="15" t="s">
        <v>67</v>
      </c>
      <c r="M32" s="15"/>
    </row>
    <row r="33" customFormat="false" ht="91" hidden="false" customHeight="false" outlineLevel="0" collapsed="false">
      <c r="A33" s="12" t="n">
        <v>29</v>
      </c>
      <c r="B33" s="12" t="s">
        <v>177</v>
      </c>
      <c r="C33" s="12" t="s">
        <v>61</v>
      </c>
      <c r="D33" s="13" t="s">
        <v>178</v>
      </c>
      <c r="E33" s="14" t="s">
        <v>179</v>
      </c>
      <c r="F33" s="12" t="n">
        <f aca="false">LEN(E33)</f>
        <v>33</v>
      </c>
      <c r="G33" s="14" t="s">
        <v>180</v>
      </c>
      <c r="H33" s="12" t="n">
        <f aca="false">LEN(G33)</f>
        <v>90</v>
      </c>
      <c r="I33" s="12" t="n">
        <v>0</v>
      </c>
      <c r="J33" s="12" t="s">
        <v>65</v>
      </c>
      <c r="K33" s="14" t="s">
        <v>66</v>
      </c>
      <c r="L33" s="12" t="s">
        <v>67</v>
      </c>
      <c r="M33" s="12"/>
    </row>
    <row r="34" customFormat="false" ht="91" hidden="false" customHeight="false" outlineLevel="0" collapsed="false">
      <c r="A34" s="15" t="n">
        <v>30</v>
      </c>
      <c r="B34" s="15" t="s">
        <v>181</v>
      </c>
      <c r="C34" s="15" t="s">
        <v>61</v>
      </c>
      <c r="D34" s="16" t="s">
        <v>182</v>
      </c>
      <c r="E34" s="17" t="s">
        <v>183</v>
      </c>
      <c r="F34" s="15" t="n">
        <f aca="false">LEN(E34)</f>
        <v>37</v>
      </c>
      <c r="G34" s="17" t="s">
        <v>184</v>
      </c>
      <c r="H34" s="15" t="n">
        <f aca="false">LEN(G34)</f>
        <v>98</v>
      </c>
      <c r="I34" s="15" t="n">
        <v>0</v>
      </c>
      <c r="J34" s="15" t="s">
        <v>65</v>
      </c>
      <c r="K34" s="17" t="s">
        <v>66</v>
      </c>
      <c r="L34" s="15" t="s">
        <v>67</v>
      </c>
      <c r="M34" s="15"/>
    </row>
    <row r="35" customFormat="false" ht="91" hidden="false" customHeight="false" outlineLevel="0" collapsed="false">
      <c r="A35" s="12" t="n">
        <v>31</v>
      </c>
      <c r="B35" s="12" t="s">
        <v>185</v>
      </c>
      <c r="C35" s="12" t="s">
        <v>61</v>
      </c>
      <c r="D35" s="13" t="s">
        <v>186</v>
      </c>
      <c r="E35" s="14" t="s">
        <v>187</v>
      </c>
      <c r="F35" s="12" t="n">
        <f aca="false">LEN(E35)</f>
        <v>35</v>
      </c>
      <c r="G35" s="14" t="s">
        <v>188</v>
      </c>
      <c r="H35" s="12" t="n">
        <f aca="false">LEN(G35)</f>
        <v>163</v>
      </c>
      <c r="I35" s="12" t="n">
        <v>0</v>
      </c>
      <c r="J35" s="12" t="s">
        <v>65</v>
      </c>
      <c r="K35" s="14" t="s">
        <v>85</v>
      </c>
      <c r="L35" s="12" t="s">
        <v>67</v>
      </c>
      <c r="M35" s="12"/>
    </row>
    <row r="36" customFormat="false" ht="91" hidden="false" customHeight="false" outlineLevel="0" collapsed="false">
      <c r="A36" s="15" t="n">
        <v>32</v>
      </c>
      <c r="B36" s="15" t="s">
        <v>189</v>
      </c>
      <c r="C36" s="15" t="s">
        <v>61</v>
      </c>
      <c r="D36" s="16" t="s">
        <v>190</v>
      </c>
      <c r="E36" s="17" t="s">
        <v>191</v>
      </c>
      <c r="F36" s="15" t="n">
        <f aca="false">LEN(E36)</f>
        <v>41</v>
      </c>
      <c r="G36" s="17" t="s">
        <v>192</v>
      </c>
      <c r="H36" s="15" t="n">
        <f aca="false">LEN(G36)</f>
        <v>106</v>
      </c>
      <c r="I36" s="15" t="n">
        <v>0</v>
      </c>
      <c r="J36" s="15" t="s">
        <v>65</v>
      </c>
      <c r="K36" s="17" t="s">
        <v>66</v>
      </c>
      <c r="L36" s="15" t="s">
        <v>67</v>
      </c>
      <c r="M36" s="15"/>
    </row>
    <row r="37" customFormat="false" ht="91" hidden="false" customHeight="false" outlineLevel="0" collapsed="false">
      <c r="A37" s="12" t="n">
        <v>33</v>
      </c>
      <c r="B37" s="12" t="s">
        <v>193</v>
      </c>
      <c r="C37" s="12" t="s">
        <v>81</v>
      </c>
      <c r="D37" s="13" t="s">
        <v>194</v>
      </c>
      <c r="E37" s="14" t="s">
        <v>195</v>
      </c>
      <c r="F37" s="12" t="n">
        <f aca="false">LEN(E37)</f>
        <v>40</v>
      </c>
      <c r="G37" s="14" t="s">
        <v>196</v>
      </c>
      <c r="H37" s="12" t="n">
        <f aca="false">LEN(G37)</f>
        <v>173</v>
      </c>
      <c r="I37" s="12" t="n">
        <v>0</v>
      </c>
      <c r="J37" s="12" t="s">
        <v>65</v>
      </c>
      <c r="K37" s="14" t="s">
        <v>197</v>
      </c>
      <c r="L37" s="12" t="s">
        <v>67</v>
      </c>
      <c r="M37" s="12"/>
    </row>
    <row r="38" customFormat="false" ht="113.4" hidden="false" customHeight="false" outlineLevel="0" collapsed="false">
      <c r="A38" s="15" t="n">
        <v>34</v>
      </c>
      <c r="B38" s="15" t="s">
        <v>198</v>
      </c>
      <c r="C38" s="15" t="s">
        <v>61</v>
      </c>
      <c r="D38" s="16" t="s">
        <v>199</v>
      </c>
      <c r="E38" s="17" t="s">
        <v>200</v>
      </c>
      <c r="F38" s="15" t="n">
        <f aca="false">LEN(E38)</f>
        <v>41</v>
      </c>
      <c r="G38" s="17" t="s">
        <v>201</v>
      </c>
      <c r="H38" s="15" t="n">
        <f aca="false">LEN(G38)</f>
        <v>115</v>
      </c>
      <c r="I38" s="15" t="n">
        <v>0</v>
      </c>
      <c r="J38" s="15" t="s">
        <v>65</v>
      </c>
      <c r="K38" s="17" t="s">
        <v>202</v>
      </c>
      <c r="L38" s="15" t="s">
        <v>67</v>
      </c>
      <c r="M38" s="15"/>
    </row>
    <row r="39" customFormat="false" ht="113.4" hidden="false" customHeight="false" outlineLevel="0" collapsed="false">
      <c r="A39" s="12" t="n">
        <v>35</v>
      </c>
      <c r="B39" s="12" t="s">
        <v>203</v>
      </c>
      <c r="C39" s="12" t="s">
        <v>81</v>
      </c>
      <c r="D39" s="13" t="s">
        <v>204</v>
      </c>
      <c r="E39" s="14" t="s">
        <v>205</v>
      </c>
      <c r="F39" s="12" t="n">
        <f aca="false">LEN(E39)</f>
        <v>62</v>
      </c>
      <c r="G39" s="14" t="s">
        <v>206</v>
      </c>
      <c r="H39" s="12" t="n">
        <f aca="false">LEN(G39)</f>
        <v>199</v>
      </c>
      <c r="I39" s="12" t="n">
        <v>0</v>
      </c>
      <c r="J39" s="12" t="s">
        <v>65</v>
      </c>
      <c r="K39" s="14" t="s">
        <v>207</v>
      </c>
      <c r="L39" s="12" t="s">
        <v>67</v>
      </c>
      <c r="M39" s="12"/>
    </row>
    <row r="40" customFormat="false" ht="91" hidden="false" customHeight="false" outlineLevel="0" collapsed="false">
      <c r="A40" s="15" t="n">
        <v>36</v>
      </c>
      <c r="B40" s="15" t="s">
        <v>208</v>
      </c>
      <c r="C40" s="15" t="s">
        <v>61</v>
      </c>
      <c r="D40" s="16" t="s">
        <v>209</v>
      </c>
      <c r="E40" s="17" t="s">
        <v>210</v>
      </c>
      <c r="F40" s="15" t="n">
        <f aca="false">LEN(E40)</f>
        <v>41</v>
      </c>
      <c r="G40" s="17" t="s">
        <v>211</v>
      </c>
      <c r="H40" s="15" t="n">
        <f aca="false">LEN(G40)</f>
        <v>106</v>
      </c>
      <c r="I40" s="15" t="n">
        <v>0</v>
      </c>
      <c r="J40" s="15" t="s">
        <v>65</v>
      </c>
      <c r="K40" s="17" t="s">
        <v>66</v>
      </c>
      <c r="L40" s="15" t="s">
        <v>67</v>
      </c>
      <c r="M40" s="15"/>
    </row>
    <row r="41" customFormat="false" ht="91" hidden="false" customHeight="false" outlineLevel="0" collapsed="false">
      <c r="A41" s="12" t="n">
        <v>37</v>
      </c>
      <c r="B41" s="12" t="s">
        <v>212</v>
      </c>
      <c r="C41" s="12" t="s">
        <v>61</v>
      </c>
      <c r="D41" s="13" t="s">
        <v>213</v>
      </c>
      <c r="E41" s="14" t="s">
        <v>214</v>
      </c>
      <c r="F41" s="12" t="n">
        <f aca="false">LEN(E41)</f>
        <v>38</v>
      </c>
      <c r="G41" s="14" t="s">
        <v>215</v>
      </c>
      <c r="H41" s="12" t="n">
        <f aca="false">LEN(G41)</f>
        <v>100</v>
      </c>
      <c r="I41" s="12" t="n">
        <v>0</v>
      </c>
      <c r="J41" s="12" t="s">
        <v>65</v>
      </c>
      <c r="K41" s="14" t="s">
        <v>66</v>
      </c>
      <c r="L41" s="12" t="s">
        <v>67</v>
      </c>
      <c r="M41" s="12"/>
    </row>
    <row r="42" customFormat="false" ht="91" hidden="false" customHeight="false" outlineLevel="0" collapsed="false">
      <c r="A42" s="15" t="n">
        <v>38</v>
      </c>
      <c r="B42" s="15" t="s">
        <v>216</v>
      </c>
      <c r="C42" s="15" t="s">
        <v>61</v>
      </c>
      <c r="D42" s="16" t="s">
        <v>217</v>
      </c>
      <c r="E42" s="17" t="s">
        <v>218</v>
      </c>
      <c r="F42" s="15" t="n">
        <f aca="false">LEN(E42)</f>
        <v>34</v>
      </c>
      <c r="G42" s="17" t="s">
        <v>219</v>
      </c>
      <c r="H42" s="15" t="n">
        <f aca="false">LEN(G42)</f>
        <v>92</v>
      </c>
      <c r="I42" s="15" t="n">
        <v>0</v>
      </c>
      <c r="J42" s="15" t="s">
        <v>65</v>
      </c>
      <c r="K42" s="17" t="s">
        <v>66</v>
      </c>
      <c r="L42" s="15" t="s">
        <v>67</v>
      </c>
      <c r="M42" s="15"/>
    </row>
    <row r="43" customFormat="false" ht="113.4" hidden="false" customHeight="false" outlineLevel="0" collapsed="false">
      <c r="A43" s="12" t="n">
        <v>39</v>
      </c>
      <c r="B43" s="12" t="s">
        <v>220</v>
      </c>
      <c r="C43" s="12" t="s">
        <v>81</v>
      </c>
      <c r="D43" s="13" t="s">
        <v>221</v>
      </c>
      <c r="E43" s="14" t="s">
        <v>222</v>
      </c>
      <c r="F43" s="12" t="n">
        <f aca="false">LEN(E43)</f>
        <v>67</v>
      </c>
      <c r="G43" s="14" t="s">
        <v>223</v>
      </c>
      <c r="H43" s="12" t="n">
        <f aca="false">LEN(G43)</f>
        <v>200</v>
      </c>
      <c r="I43" s="12" t="n">
        <v>0</v>
      </c>
      <c r="J43" s="12" t="s">
        <v>65</v>
      </c>
      <c r="K43" s="14" t="s">
        <v>224</v>
      </c>
      <c r="L43" s="12" t="s">
        <v>67</v>
      </c>
      <c r="M43" s="12"/>
    </row>
    <row r="44" customFormat="false" ht="113.4" hidden="false" customHeight="false" outlineLevel="0" collapsed="false">
      <c r="A44" s="15" t="n">
        <v>40</v>
      </c>
      <c r="B44" s="15" t="s">
        <v>225</v>
      </c>
      <c r="C44" s="15" t="s">
        <v>81</v>
      </c>
      <c r="D44" s="16" t="s">
        <v>226</v>
      </c>
      <c r="E44" s="17" t="s">
        <v>227</v>
      </c>
      <c r="F44" s="15" t="n">
        <f aca="false">LEN(E44)</f>
        <v>64</v>
      </c>
      <c r="G44" s="17" t="s">
        <v>228</v>
      </c>
      <c r="H44" s="15" t="n">
        <f aca="false">LEN(G44)</f>
        <v>200</v>
      </c>
      <c r="I44" s="15" t="n">
        <v>0</v>
      </c>
      <c r="J44" s="15" t="s">
        <v>65</v>
      </c>
      <c r="K44" s="17" t="s">
        <v>224</v>
      </c>
      <c r="L44" s="15" t="s">
        <v>67</v>
      </c>
      <c r="M44" s="15"/>
    </row>
    <row r="45" customFormat="false" ht="91" hidden="false" customHeight="false" outlineLevel="0" collapsed="false">
      <c r="A45" s="12" t="n">
        <v>41</v>
      </c>
      <c r="B45" s="12" t="s">
        <v>229</v>
      </c>
      <c r="C45" s="12" t="s">
        <v>61</v>
      </c>
      <c r="D45" s="13" t="s">
        <v>230</v>
      </c>
      <c r="E45" s="14" t="s">
        <v>231</v>
      </c>
      <c r="F45" s="12" t="n">
        <f aca="false">LEN(E45)</f>
        <v>33</v>
      </c>
      <c r="G45" s="14" t="s">
        <v>232</v>
      </c>
      <c r="H45" s="12" t="n">
        <f aca="false">LEN(G45)</f>
        <v>90</v>
      </c>
      <c r="I45" s="12" t="n">
        <v>0</v>
      </c>
      <c r="J45" s="12" t="s">
        <v>65</v>
      </c>
      <c r="K45" s="14" t="s">
        <v>66</v>
      </c>
      <c r="L45" s="12" t="s">
        <v>67</v>
      </c>
      <c r="M45" s="12"/>
    </row>
    <row r="46" customFormat="false" ht="91" hidden="false" customHeight="false" outlineLevel="0" collapsed="false">
      <c r="A46" s="15" t="n">
        <v>42</v>
      </c>
      <c r="B46" s="15" t="s">
        <v>233</v>
      </c>
      <c r="C46" s="15" t="s">
        <v>61</v>
      </c>
      <c r="D46" s="16" t="s">
        <v>234</v>
      </c>
      <c r="E46" s="17" t="s">
        <v>235</v>
      </c>
      <c r="F46" s="15" t="n">
        <f aca="false">LEN(E46)</f>
        <v>37</v>
      </c>
      <c r="G46" s="17" t="s">
        <v>236</v>
      </c>
      <c r="H46" s="15" t="n">
        <f aca="false">LEN(G46)</f>
        <v>98</v>
      </c>
      <c r="I46" s="15" t="n">
        <v>0</v>
      </c>
      <c r="J46" s="15" t="s">
        <v>65</v>
      </c>
      <c r="K46" s="17" t="s">
        <v>66</v>
      </c>
      <c r="L46" s="15" t="s">
        <v>67</v>
      </c>
      <c r="M46" s="15"/>
    </row>
    <row r="47" customFormat="false" ht="91" hidden="false" customHeight="false" outlineLevel="0" collapsed="false">
      <c r="A47" s="12" t="n">
        <v>43</v>
      </c>
      <c r="B47" s="12" t="s">
        <v>237</v>
      </c>
      <c r="C47" s="12" t="s">
        <v>61</v>
      </c>
      <c r="D47" s="13" t="s">
        <v>238</v>
      </c>
      <c r="E47" s="14" t="s">
        <v>239</v>
      </c>
      <c r="F47" s="12" t="n">
        <f aca="false">LEN(E47)</f>
        <v>39</v>
      </c>
      <c r="G47" s="14" t="s">
        <v>240</v>
      </c>
      <c r="H47" s="12" t="n">
        <f aca="false">LEN(G47)</f>
        <v>102</v>
      </c>
      <c r="I47" s="12" t="n">
        <v>0</v>
      </c>
      <c r="J47" s="12" t="s">
        <v>65</v>
      </c>
      <c r="K47" s="14" t="s">
        <v>66</v>
      </c>
      <c r="L47" s="12" t="s">
        <v>67</v>
      </c>
      <c r="M47" s="12"/>
    </row>
    <row r="48" customFormat="false" ht="91" hidden="false" customHeight="false" outlineLevel="0" collapsed="false">
      <c r="A48" s="15" t="n">
        <v>44</v>
      </c>
      <c r="B48" s="15" t="s">
        <v>241</v>
      </c>
      <c r="C48" s="15" t="s">
        <v>61</v>
      </c>
      <c r="D48" s="16" t="s">
        <v>242</v>
      </c>
      <c r="E48" s="17" t="s">
        <v>243</v>
      </c>
      <c r="F48" s="15" t="n">
        <f aca="false">LEN(E48)</f>
        <v>42</v>
      </c>
      <c r="G48" s="17" t="s">
        <v>244</v>
      </c>
      <c r="H48" s="15" t="n">
        <f aca="false">LEN(G48)</f>
        <v>108</v>
      </c>
      <c r="I48" s="15" t="n">
        <v>0</v>
      </c>
      <c r="J48" s="15" t="s">
        <v>65</v>
      </c>
      <c r="K48" s="17" t="s">
        <v>66</v>
      </c>
      <c r="L48" s="15" t="s">
        <v>67</v>
      </c>
      <c r="M48" s="15"/>
    </row>
    <row r="49" customFormat="false" ht="102.2" hidden="false" customHeight="false" outlineLevel="0" collapsed="false">
      <c r="A49" s="12" t="n">
        <v>45</v>
      </c>
      <c r="B49" s="12" t="s">
        <v>245</v>
      </c>
      <c r="C49" s="12" t="s">
        <v>61</v>
      </c>
      <c r="D49" s="13" t="s">
        <v>246</v>
      </c>
      <c r="E49" s="14" t="s">
        <v>247</v>
      </c>
      <c r="F49" s="12" t="n">
        <f aca="false">LEN(E49)</f>
        <v>36</v>
      </c>
      <c r="G49" s="14" t="s">
        <v>248</v>
      </c>
      <c r="H49" s="12" t="n">
        <f aca="false">LEN(G49)</f>
        <v>96</v>
      </c>
      <c r="I49" s="12" t="n">
        <v>0</v>
      </c>
      <c r="J49" s="12" t="s">
        <v>65</v>
      </c>
      <c r="K49" s="14" t="s">
        <v>249</v>
      </c>
      <c r="L49" s="12" t="s">
        <v>67</v>
      </c>
      <c r="M49" s="12"/>
    </row>
    <row r="51" customFormat="false" ht="15" hidden="false" customHeight="false" outlineLevel="0" collapsed="false">
      <c r="B51" s="10" t="s">
        <v>250</v>
      </c>
    </row>
  </sheetData>
  <autoFilter ref="A4:M49"/>
  <conditionalFormatting sqref="L5:L49">
    <cfRule type="expression" priority="2" aboveAverage="0" equalAverage="0" bottom="0" percent="0" rank="0" text="" dxfId="6">
      <formula>LEFT($L5,5)="Draft"</formula>
    </cfRule>
    <cfRule type="expression" priority="3" aboveAverage="0" equalAverage="0" bottom="0" percent="0" rank="0" text="" dxfId="7">
      <formula>$L5="Live"</formula>
    </cfRule>
  </conditionalFormatting>
  <dataValidations count="1">
    <dataValidation allowBlank="false" error="Choose a status from the list" errorStyle="stop" operator="between" showDropDown="false" showErrorMessage="false" showInputMessage="false" sqref="L5:L49" type="list">
      <formula1>"Not started,Draft ready,awaiting go-live,Live"</formula1>
      <formula2>0</formula2>
    </dataValidation>
  </dataValidations>
  <hyperlinks>
    <hyperlink ref="D5" r:id="rId1" display="https://www.expertophthalmologywitness.com/alabama-expert-ophthalmology-witness/"/>
    <hyperlink ref="D6" r:id="rId2" display="https://www.expertophthalmologywitness.com/alaska-expert-ophthalmology-witness/"/>
    <hyperlink ref="D7" r:id="rId3" display="https://www.expertophthalmologywitness.com/arizona-expert-ophthalmology-witness/"/>
    <hyperlink ref="D8" r:id="rId4" display="https://www.expertophthalmologywitness.com/california-expert-ophthalmology-witness/"/>
    <hyperlink ref="D9" r:id="rId5" display="https://www.expertophthalmologywitness.com/canada-expert-ophthalmology-witness/"/>
    <hyperlink ref="D10" r:id="rId6" display="https://www.expertophthalmologywitness.com/colorado-expert-ophthalmology-witness/"/>
    <hyperlink ref="D11" r:id="rId7" display="https://www.expertophthalmologywitness.com/connecticut-expert-ophthalmology-witness/"/>
    <hyperlink ref="D12" r:id="rId8" display="https://www.expertophthalmologywitness.com/district-of-columbia-expert-ophthalmology-witness/"/>
    <hyperlink ref="D13" r:id="rId9" display="https://www.expertophthalmologywitness.com/florida-expert-ophthalmology-witness/"/>
    <hyperlink ref="D14" r:id="rId10" display="https://www.expertophthalmologywitness.com/georgia-expert-ophthalmology-witness/"/>
    <hyperlink ref="D15" r:id="rId11" display="https://www.expertophthalmologywitness.com/hawaii-expert-ophthalmology-witness/"/>
    <hyperlink ref="D16" r:id="rId12" display="https://www.expertophthalmologywitness.com/idaho-expert-ophthalmology-witness/"/>
    <hyperlink ref="D17" r:id="rId13" display="https://www.expertophthalmologywitness.com/illinois-expert-ophthalmology-witness/"/>
    <hyperlink ref="D18" r:id="rId14" display="https://www.expertophthalmologywitness.com/indiana-expert-ophthalmology-witness/"/>
    <hyperlink ref="D19" r:id="rId15" display="https://www.expertophthalmologywitness.com/kansas-expert-ophthalmology-witness/"/>
    <hyperlink ref="D20" r:id="rId16" display="https://www.expertophthalmologywitness.com/kentucky-expert-ophthalmology-witness/"/>
    <hyperlink ref="M20" r:id="rId17" display="https://kunaldabiseo.github.io/eow-website/kentucky/"/>
    <hyperlink ref="D21" r:id="rId18" display="https://www.expertophthalmologywitness.com/louisiana-expert-ophthalmology-witness/"/>
    <hyperlink ref="D22" r:id="rId19" display="https://www.expertophthalmologywitness.com/massachusetts-expert-ophthalmology-witness/"/>
    <hyperlink ref="D23" r:id="rId20" display="https://www.expertophthalmologywitness.com/michigan-expert-ophthalmology-witness/"/>
    <hyperlink ref="D24" r:id="rId21" display="https://www.expertophthalmologywitness.com/minnesota-expert-ophthalmology-witness/"/>
    <hyperlink ref="D25" r:id="rId22" display="https://www.expertophthalmologywitness.com/mississippi-expert-ophthalmology-witness/"/>
    <hyperlink ref="D26" r:id="rId23" display="https://www.expertophthalmologywitness.com/missouri-expert-ophthalmology-witness/"/>
    <hyperlink ref="D27" r:id="rId24" display="https://www.expertophthalmologywitness.com/montana-expert-ophthalmology-witness/"/>
    <hyperlink ref="D28" r:id="rId25" display="https://www.expertophthalmologywitness.com/nevada-expert-ophthalmology-witness/"/>
    <hyperlink ref="D29" r:id="rId26" display="https://www.expertophthalmologywitness.com/new-jersey-expert-ophthalmology-witness/"/>
    <hyperlink ref="D30" r:id="rId27" display="https://www.expertophthalmologywitness.com/new-mexico-expert-ophthalmology-witness/"/>
    <hyperlink ref="D31" r:id="rId28" display="https://www.expertophthalmologywitness.com/new-york-expert-ophthalmology-witness/"/>
    <hyperlink ref="D32" r:id="rId29" display="https://www.expertophthalmologywitness.com/north-carolina-expert-ophthalmology-witness/"/>
    <hyperlink ref="D33" r:id="rId30" display="https://www.expertophthalmologywitness.com/ohio-expert-ophthalmology-witness/"/>
    <hyperlink ref="D34" r:id="rId31" display="https://www.expertophthalmologywitness.com/oklahoma-expert-ophthalmology-witness/"/>
    <hyperlink ref="D35" r:id="rId32" display="https://www.expertophthalmologywitness.com/oregon-expert-ophthalmology-witness/"/>
    <hyperlink ref="D36" r:id="rId33" display="https://www.expertophthalmologywitness.com/pennsylvania-expert-ophthalmology-witness/"/>
    <hyperlink ref="D37" r:id="rId34" display="https://www.expertophthalmologywitness.com/puerto-rico-expert-ophthalmology-witness/"/>
    <hyperlink ref="D38" r:id="rId35" display="https://www.expertophthalmologywitness.com/rhose-island-expert-ophthalmology-witness-dr-todd-lefkowitz/"/>
    <hyperlink ref="D39" r:id="rId36" display="https://www.expertophthalmologywitness.com/south-africa-expert-ophthalmology-witness/"/>
    <hyperlink ref="D40" r:id="rId37" display="https://www.expertophthalmologywitness.com/south-dakota-expert-ophthalmology-witness/"/>
    <hyperlink ref="D41" r:id="rId38" display="https://www.expertophthalmologywitness.com/tennessee-expert-ophthalmology-witness/"/>
    <hyperlink ref="D42" r:id="rId39" display="https://www.expertophthalmologywitness.com/texas-expert-ophthalmology-witness/"/>
    <hyperlink ref="D43" r:id="rId40" display="https://www.expertophthalmologywitness.com/us-virgin-islands-expert-ophthalmology-witness/"/>
    <hyperlink ref="D44" r:id="rId41" display="https://www.expertophthalmologywitness.com/united-kingdom-expert-ophthalmology-witness/"/>
    <hyperlink ref="D45" r:id="rId42" display="https://www.expertophthalmologywitness.com/utah-expert-ophthalmology-witness/"/>
    <hyperlink ref="D46" r:id="rId43" display="https://www.expertophthalmologywitness.com/virginia-expert-ophthalmology-witness/"/>
    <hyperlink ref="D47" r:id="rId44" display="https://www.expertophthalmologywitness.com/washington-expert-ophthalmology-witness/"/>
    <hyperlink ref="D48" r:id="rId45" display="https://www.expertophthalmologywitness.com/west-virginia-expert-ophthalmology-witness/"/>
    <hyperlink ref="D49" r:id="rId46" display="https://www.expertophthalmologywitness.com/wyoming-expert-ophthalmology-witness-dr-todd-lefkowitz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A3BF"/>
    <pageSetUpPr fitToPage="fals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8"/>
    <col collapsed="false" customWidth="true" hidden="false" outlineLevel="0" max="3" min="3" style="0" width="62"/>
    <col collapsed="false" customWidth="true" hidden="false" outlineLevel="0" max="4" min="4" style="0" width="50"/>
  </cols>
  <sheetData>
    <row r="1" customFormat="false" ht="25.5" hidden="false" customHeight="true" outlineLevel="0" collapsed="false">
      <c r="A1" s="1" t="s">
        <v>251</v>
      </c>
    </row>
    <row r="2" customFormat="false" ht="15" hidden="false" customHeight="false" outlineLevel="0" collapsed="false">
      <c r="A2" s="2" t="s">
        <v>252</v>
      </c>
    </row>
    <row r="4" customFormat="false" ht="30" hidden="false" customHeight="true" outlineLevel="0" collapsed="false">
      <c r="A4" s="11" t="s">
        <v>253</v>
      </c>
      <c r="B4" s="11" t="s">
        <v>254</v>
      </c>
      <c r="C4" s="11" t="s">
        <v>255</v>
      </c>
      <c r="D4" s="11" t="s">
        <v>256</v>
      </c>
    </row>
    <row r="5" customFormat="false" ht="23.85" hidden="false" customHeight="false" outlineLevel="0" collapsed="false">
      <c r="A5" s="12" t="s">
        <v>257</v>
      </c>
      <c r="B5" s="14" t="s">
        <v>126</v>
      </c>
      <c r="C5" s="14" t="s">
        <v>258</v>
      </c>
      <c r="D5" s="14" t="s">
        <v>259</v>
      </c>
    </row>
    <row r="6" customFormat="false" ht="35.05" hidden="false" customHeight="false" outlineLevel="0" collapsed="false">
      <c r="A6" s="15" t="s">
        <v>260</v>
      </c>
      <c r="B6" s="17" t="s">
        <v>127</v>
      </c>
      <c r="C6" s="17" t="s">
        <v>261</v>
      </c>
      <c r="D6" s="17" t="s">
        <v>262</v>
      </c>
    </row>
    <row r="7" customFormat="false" ht="23.85" hidden="false" customHeight="false" outlineLevel="0" collapsed="false">
      <c r="A7" s="12" t="s">
        <v>263</v>
      </c>
      <c r="B7" s="14" t="s">
        <v>264</v>
      </c>
      <c r="C7" s="14" t="s">
        <v>265</v>
      </c>
      <c r="D7" s="14" t="s">
        <v>266</v>
      </c>
    </row>
    <row r="8" customFormat="false" ht="23.85" hidden="false" customHeight="false" outlineLevel="0" collapsed="false">
      <c r="A8" s="15" t="s">
        <v>267</v>
      </c>
      <c r="B8" s="17" t="s">
        <v>268</v>
      </c>
      <c r="C8" s="17" t="s">
        <v>269</v>
      </c>
      <c r="D8" s="17" t="s">
        <v>270</v>
      </c>
    </row>
    <row r="9" customFormat="false" ht="15" hidden="false" customHeight="false" outlineLevel="0" collapsed="false">
      <c r="A9" s="12" t="s">
        <v>271</v>
      </c>
      <c r="B9" s="14" t="s">
        <v>272</v>
      </c>
      <c r="C9" s="14" t="s">
        <v>273</v>
      </c>
      <c r="D9" s="14" t="s">
        <v>274</v>
      </c>
    </row>
    <row r="10" customFormat="false" ht="23.85" hidden="false" customHeight="false" outlineLevel="0" collapsed="false">
      <c r="A10" s="15" t="s">
        <v>275</v>
      </c>
      <c r="B10" s="17" t="s">
        <v>276</v>
      </c>
      <c r="C10" s="17" t="s">
        <v>277</v>
      </c>
      <c r="D10" s="17" t="s">
        <v>278</v>
      </c>
    </row>
    <row r="11" customFormat="false" ht="23.85" hidden="false" customHeight="false" outlineLevel="0" collapsed="false">
      <c r="A11" s="12" t="s">
        <v>279</v>
      </c>
      <c r="B11" s="14" t="s">
        <v>280</v>
      </c>
      <c r="C11" s="14" t="s">
        <v>281</v>
      </c>
      <c r="D11" s="14" t="s">
        <v>282</v>
      </c>
    </row>
    <row r="12" customFormat="false" ht="23.85" hidden="false" customHeight="false" outlineLevel="0" collapsed="false">
      <c r="A12" s="15" t="s">
        <v>283</v>
      </c>
      <c r="B12" s="17" t="s">
        <v>284</v>
      </c>
      <c r="C12" s="17" t="s">
        <v>285</v>
      </c>
      <c r="D12" s="17" t="s">
        <v>286</v>
      </c>
    </row>
    <row r="13" customFormat="false" ht="15" hidden="false" customHeight="false" outlineLevel="0" collapsed="false">
      <c r="A13" s="12" t="s">
        <v>287</v>
      </c>
      <c r="B13" s="14" t="s">
        <v>288</v>
      </c>
      <c r="C13" s="14" t="s">
        <v>289</v>
      </c>
      <c r="D13" s="14" t="s">
        <v>290</v>
      </c>
    </row>
    <row r="14" customFormat="false" ht="15" hidden="false" customHeight="false" outlineLevel="0" collapsed="false">
      <c r="A14" s="15" t="s">
        <v>291</v>
      </c>
      <c r="B14" s="17" t="s">
        <v>292</v>
      </c>
      <c r="C14" s="17" t="s">
        <v>293</v>
      </c>
      <c r="D14" s="17" t="s">
        <v>294</v>
      </c>
    </row>
    <row r="15" customFormat="false" ht="23.85" hidden="false" customHeight="false" outlineLevel="0" collapsed="false">
      <c r="A15" s="12" t="s">
        <v>295</v>
      </c>
      <c r="B15" s="14" t="s">
        <v>296</v>
      </c>
      <c r="C15" s="14" t="s">
        <v>297</v>
      </c>
      <c r="D15" s="14" t="s">
        <v>298</v>
      </c>
    </row>
    <row r="16" customFormat="false" ht="15" hidden="false" customHeight="false" outlineLevel="0" collapsed="false">
      <c r="A16" s="15" t="s">
        <v>299</v>
      </c>
      <c r="B16" s="17" t="s">
        <v>288</v>
      </c>
      <c r="C16" s="17" t="s">
        <v>300</v>
      </c>
      <c r="D16" s="17" t="s">
        <v>301</v>
      </c>
    </row>
    <row r="17" customFormat="false" ht="23.85" hidden="false" customHeight="false" outlineLevel="0" collapsed="false">
      <c r="A17" s="12" t="s">
        <v>302</v>
      </c>
      <c r="B17" s="14" t="s">
        <v>303</v>
      </c>
      <c r="C17" s="14" t="s">
        <v>304</v>
      </c>
      <c r="D17" s="14" t="s">
        <v>305</v>
      </c>
    </row>
    <row r="18" customFormat="false" ht="15" hidden="false" customHeight="false" outlineLevel="0" collapsed="false">
      <c r="A18" s="15" t="s">
        <v>306</v>
      </c>
      <c r="B18" s="17" t="s">
        <v>307</v>
      </c>
      <c r="C18" s="17" t="s">
        <v>308</v>
      </c>
      <c r="D18" s="17" t="s">
        <v>309</v>
      </c>
    </row>
    <row r="19" customFormat="false" ht="15" hidden="false" customHeight="false" outlineLevel="0" collapsed="false">
      <c r="A19" s="12" t="s">
        <v>310</v>
      </c>
      <c r="B19" s="14" t="s">
        <v>311</v>
      </c>
      <c r="C19" s="14" t="s">
        <v>312</v>
      </c>
      <c r="D19" s="14" t="s">
        <v>313</v>
      </c>
    </row>
    <row r="20" customFormat="false" ht="15" hidden="false" customHeight="false" outlineLevel="0" collapsed="false">
      <c r="A20" s="15" t="s">
        <v>314</v>
      </c>
      <c r="B20" s="17" t="s">
        <v>315</v>
      </c>
      <c r="C20" s="17" t="s">
        <v>316</v>
      </c>
      <c r="D20" s="17"/>
    </row>
  </sheetData>
  <autoFilter ref="A4:D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A3BF"/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60"/>
    <col collapsed="false" customWidth="true" hidden="false" outlineLevel="0" max="4" min="4" style="0" width="70"/>
    <col collapsed="false" customWidth="true" hidden="false" outlineLevel="0" max="5" min="5" style="0" width="11"/>
  </cols>
  <sheetData>
    <row r="1" customFormat="false" ht="25.5" hidden="false" customHeight="true" outlineLevel="0" collapsed="false">
      <c r="A1" s="1" t="s">
        <v>317</v>
      </c>
    </row>
    <row r="2" customFormat="false" ht="15" hidden="false" customHeight="false" outlineLevel="0" collapsed="false">
      <c r="A2" s="2" t="s">
        <v>318</v>
      </c>
    </row>
    <row r="4" customFormat="false" ht="30" hidden="false" customHeight="true" outlineLevel="0" collapsed="false">
      <c r="A4" s="11" t="s">
        <v>47</v>
      </c>
      <c r="B4" s="11" t="s">
        <v>319</v>
      </c>
      <c r="C4" s="11" t="s">
        <v>320</v>
      </c>
      <c r="D4" s="11" t="s">
        <v>321</v>
      </c>
      <c r="E4" s="11" t="s">
        <v>58</v>
      </c>
    </row>
    <row r="5" customFormat="false" ht="23.85" hidden="false" customHeight="false" outlineLevel="0" collapsed="false">
      <c r="A5" s="12" t="n">
        <v>1</v>
      </c>
      <c r="B5" s="12" t="s">
        <v>322</v>
      </c>
      <c r="C5" s="14" t="s">
        <v>323</v>
      </c>
      <c r="D5" s="14" t="s">
        <v>324</v>
      </c>
      <c r="E5" s="12" t="s">
        <v>325</v>
      </c>
    </row>
    <row r="6" customFormat="false" ht="15" hidden="false" customHeight="false" outlineLevel="0" collapsed="false">
      <c r="A6" s="15" t="n">
        <v>2</v>
      </c>
      <c r="B6" s="15" t="s">
        <v>326</v>
      </c>
      <c r="C6" s="17" t="s">
        <v>327</v>
      </c>
      <c r="D6" s="17" t="s">
        <v>328</v>
      </c>
      <c r="E6" s="15" t="s">
        <v>325</v>
      </c>
    </row>
    <row r="7" customFormat="false" ht="23.85" hidden="false" customHeight="false" outlineLevel="0" collapsed="false">
      <c r="A7" s="12" t="n">
        <v>3</v>
      </c>
      <c r="B7" s="12" t="s">
        <v>326</v>
      </c>
      <c r="C7" s="14" t="s">
        <v>329</v>
      </c>
      <c r="D7" s="14" t="s">
        <v>328</v>
      </c>
      <c r="E7" s="12" t="s">
        <v>325</v>
      </c>
    </row>
    <row r="8" customFormat="false" ht="23.85" hidden="false" customHeight="false" outlineLevel="0" collapsed="false">
      <c r="A8" s="15" t="n">
        <v>4</v>
      </c>
      <c r="B8" s="15" t="s">
        <v>326</v>
      </c>
      <c r="C8" s="17" t="s">
        <v>330</v>
      </c>
      <c r="D8" s="17" t="s">
        <v>328</v>
      </c>
      <c r="E8" s="15" t="s">
        <v>325</v>
      </c>
    </row>
    <row r="9" customFormat="false" ht="35.05" hidden="false" customHeight="false" outlineLevel="0" collapsed="false">
      <c r="A9" s="12" t="n">
        <v>5</v>
      </c>
      <c r="B9" s="12" t="s">
        <v>326</v>
      </c>
      <c r="C9" s="14" t="s">
        <v>331</v>
      </c>
      <c r="D9" s="14" t="s">
        <v>332</v>
      </c>
      <c r="E9" s="12" t="s">
        <v>325</v>
      </c>
    </row>
    <row r="10" customFormat="false" ht="23.85" hidden="false" customHeight="false" outlineLevel="0" collapsed="false">
      <c r="A10" s="15" t="n">
        <v>6</v>
      </c>
      <c r="B10" s="15" t="s">
        <v>326</v>
      </c>
      <c r="C10" s="17" t="s">
        <v>333</v>
      </c>
      <c r="D10" s="17" t="s">
        <v>334</v>
      </c>
      <c r="E10" s="15" t="s">
        <v>325</v>
      </c>
    </row>
    <row r="11" customFormat="false" ht="35.05" hidden="false" customHeight="false" outlineLevel="0" collapsed="false">
      <c r="A11" s="12" t="n">
        <v>7</v>
      </c>
      <c r="B11" s="12" t="s">
        <v>326</v>
      </c>
      <c r="C11" s="14" t="s">
        <v>335</v>
      </c>
      <c r="D11" s="14" t="s">
        <v>336</v>
      </c>
      <c r="E11" s="12" t="s">
        <v>325</v>
      </c>
    </row>
    <row r="12" customFormat="false" ht="15" hidden="false" customHeight="false" outlineLevel="0" collapsed="false">
      <c r="A12" s="15" t="n">
        <v>8</v>
      </c>
      <c r="B12" s="15" t="s">
        <v>326</v>
      </c>
      <c r="C12" s="17" t="s">
        <v>337</v>
      </c>
      <c r="D12" s="17" t="s">
        <v>338</v>
      </c>
      <c r="E12" s="15" t="s">
        <v>339</v>
      </c>
    </row>
    <row r="13" customFormat="false" ht="15" hidden="false" customHeight="false" outlineLevel="0" collapsed="false">
      <c r="A13" s="12" t="n">
        <v>9</v>
      </c>
      <c r="B13" s="12" t="s">
        <v>326</v>
      </c>
      <c r="C13" s="14" t="s">
        <v>340</v>
      </c>
      <c r="D13" s="14" t="s">
        <v>341</v>
      </c>
      <c r="E13" s="12" t="s">
        <v>339</v>
      </c>
    </row>
  </sheetData>
  <autoFilter ref="A4:E13"/>
  <conditionalFormatting sqref="E5:E13">
    <cfRule type="expression" priority="2" aboveAverage="0" equalAverage="0" bottom="0" percent="0" rank="0" text="" dxfId="7">
      <formula>$E5="Done"</formula>
    </cfRule>
    <cfRule type="expression" priority="3" aboveAverage="0" equalAverage="0" bottom="0" percent="0" rank="0" text="" dxfId="6">
      <formula>$E5="Open"</formula>
    </cfRule>
  </conditionalFormatting>
  <dataValidations count="1">
    <dataValidation allowBlank="false" errorStyle="stop" operator="between" showDropDown="false" showErrorMessage="false" showInputMessage="false" sqref="E5:E13" type="list">
      <formula1>"Done,Open"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A3BF"/>
    <pageSetUpPr fitToPage="fals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8"/>
    <col collapsed="false" customWidth="true" hidden="false" outlineLevel="0" max="3" min="3" style="0" width="60"/>
    <col collapsed="false" customWidth="true" hidden="false" outlineLevel="0" max="4" min="4" style="0" width="52"/>
    <col collapsed="false" customWidth="true" hidden="false" outlineLevel="0" max="5" min="5" style="0" width="22"/>
  </cols>
  <sheetData>
    <row r="1" customFormat="false" ht="25.5" hidden="false" customHeight="true" outlineLevel="0" collapsed="false">
      <c r="A1" s="1" t="s">
        <v>342</v>
      </c>
    </row>
    <row r="2" customFormat="false" ht="15" hidden="false" customHeight="false" outlineLevel="0" collapsed="false">
      <c r="A2" s="2" t="s">
        <v>343</v>
      </c>
    </row>
    <row r="4" customFormat="false" ht="30" hidden="false" customHeight="true" outlineLevel="0" collapsed="false">
      <c r="A4" s="11" t="s">
        <v>344</v>
      </c>
      <c r="B4" s="11" t="s">
        <v>345</v>
      </c>
      <c r="C4" s="11" t="s">
        <v>346</v>
      </c>
      <c r="D4" s="11" t="s">
        <v>347</v>
      </c>
      <c r="E4" s="11" t="s">
        <v>348</v>
      </c>
    </row>
    <row r="5" customFormat="false" ht="15" hidden="false" customHeight="false" outlineLevel="0" collapsed="false">
      <c r="A5" s="14" t="s">
        <v>349</v>
      </c>
      <c r="B5" s="12" t="s">
        <v>283</v>
      </c>
      <c r="C5" s="14" t="s">
        <v>350</v>
      </c>
      <c r="D5" s="13" t="s">
        <v>351</v>
      </c>
      <c r="E5" s="12" t="s">
        <v>352</v>
      </c>
    </row>
    <row r="6" customFormat="false" ht="23.85" hidden="false" customHeight="false" outlineLevel="0" collapsed="false">
      <c r="A6" s="17" t="s">
        <v>353</v>
      </c>
      <c r="B6" s="15" t="s">
        <v>283</v>
      </c>
      <c r="C6" s="17" t="s">
        <v>354</v>
      </c>
      <c r="D6" s="16" t="s">
        <v>351</v>
      </c>
      <c r="E6" s="15" t="s">
        <v>352</v>
      </c>
    </row>
    <row r="7" customFormat="false" ht="23.85" hidden="false" customHeight="false" outlineLevel="0" collapsed="false">
      <c r="A7" s="14" t="s">
        <v>355</v>
      </c>
      <c r="B7" s="12" t="s">
        <v>283</v>
      </c>
      <c r="C7" s="14" t="s">
        <v>356</v>
      </c>
      <c r="D7" s="13" t="s">
        <v>351</v>
      </c>
      <c r="E7" s="12" t="s">
        <v>352</v>
      </c>
    </row>
    <row r="8" customFormat="false" ht="15" hidden="false" customHeight="false" outlineLevel="0" collapsed="false">
      <c r="A8" s="17" t="s">
        <v>357</v>
      </c>
      <c r="B8" s="15" t="s">
        <v>283</v>
      </c>
      <c r="C8" s="17" t="s">
        <v>358</v>
      </c>
      <c r="D8" s="16" t="s">
        <v>351</v>
      </c>
      <c r="E8" s="15" t="s">
        <v>352</v>
      </c>
    </row>
    <row r="9" customFormat="false" ht="15" hidden="false" customHeight="false" outlineLevel="0" collapsed="false">
      <c r="A9" s="14" t="s">
        <v>359</v>
      </c>
      <c r="B9" s="12" t="s">
        <v>283</v>
      </c>
      <c r="C9" s="14" t="s">
        <v>360</v>
      </c>
      <c r="D9" s="13" t="s">
        <v>351</v>
      </c>
      <c r="E9" s="12" t="s">
        <v>352</v>
      </c>
    </row>
    <row r="10" customFormat="false" ht="23.85" hidden="false" customHeight="false" outlineLevel="0" collapsed="false">
      <c r="A10" s="17" t="s">
        <v>361</v>
      </c>
      <c r="B10" s="15" t="s">
        <v>283</v>
      </c>
      <c r="C10" s="17" t="s">
        <v>362</v>
      </c>
      <c r="D10" s="16" t="s">
        <v>351</v>
      </c>
      <c r="E10" s="15" t="s">
        <v>352</v>
      </c>
    </row>
    <row r="11" customFormat="false" ht="23.85" hidden="false" customHeight="false" outlineLevel="0" collapsed="false">
      <c r="A11" s="14" t="s">
        <v>363</v>
      </c>
      <c r="B11" s="12" t="s">
        <v>283</v>
      </c>
      <c r="C11" s="14" t="s">
        <v>364</v>
      </c>
      <c r="D11" s="13" t="s">
        <v>351</v>
      </c>
      <c r="E11" s="12" t="s">
        <v>352</v>
      </c>
    </row>
    <row r="12" customFormat="false" ht="23.85" hidden="false" customHeight="false" outlineLevel="0" collapsed="false">
      <c r="A12" s="17" t="s">
        <v>365</v>
      </c>
      <c r="B12" s="15" t="s">
        <v>283</v>
      </c>
      <c r="C12" s="17" t="s">
        <v>366</v>
      </c>
      <c r="D12" s="16" t="s">
        <v>351</v>
      </c>
      <c r="E12" s="15" t="s">
        <v>352</v>
      </c>
    </row>
    <row r="13" customFormat="false" ht="15" hidden="false" customHeight="false" outlineLevel="0" collapsed="false">
      <c r="A13" s="14" t="s">
        <v>367</v>
      </c>
      <c r="B13" s="12" t="s">
        <v>283</v>
      </c>
      <c r="C13" s="14" t="s">
        <v>368</v>
      </c>
      <c r="D13" s="13" t="s">
        <v>369</v>
      </c>
      <c r="E13" s="12" t="s">
        <v>370</v>
      </c>
    </row>
    <row r="14" customFormat="false" ht="15" hidden="false" customHeight="false" outlineLevel="0" collapsed="false">
      <c r="A14" s="17" t="s">
        <v>371</v>
      </c>
      <c r="B14" s="15" t="s">
        <v>372</v>
      </c>
      <c r="C14" s="17" t="s">
        <v>373</v>
      </c>
      <c r="D14" s="16" t="s">
        <v>369</v>
      </c>
      <c r="E14" s="15" t="s">
        <v>352</v>
      </c>
    </row>
    <row r="15" customFormat="false" ht="23.85" hidden="false" customHeight="false" outlineLevel="0" collapsed="false">
      <c r="A15" s="14" t="s">
        <v>374</v>
      </c>
      <c r="B15" s="12" t="s">
        <v>375</v>
      </c>
      <c r="C15" s="14" t="s">
        <v>376</v>
      </c>
      <c r="D15" s="13" t="s">
        <v>377</v>
      </c>
      <c r="E15" s="12" t="s">
        <v>352</v>
      </c>
    </row>
    <row r="16" customFormat="false" ht="15" hidden="false" customHeight="false" outlineLevel="0" collapsed="false">
      <c r="A16" s="17" t="s">
        <v>378</v>
      </c>
      <c r="B16" s="15" t="s">
        <v>279</v>
      </c>
      <c r="C16" s="17" t="s">
        <v>379</v>
      </c>
      <c r="D16" s="16" t="s">
        <v>377</v>
      </c>
      <c r="E16" s="15" t="s">
        <v>352</v>
      </c>
    </row>
    <row r="17" customFormat="false" ht="15" hidden="false" customHeight="false" outlineLevel="0" collapsed="false">
      <c r="A17" s="14" t="s">
        <v>380</v>
      </c>
      <c r="B17" s="12" t="s">
        <v>279</v>
      </c>
      <c r="C17" s="14" t="s">
        <v>381</v>
      </c>
      <c r="D17" s="13" t="s">
        <v>377</v>
      </c>
      <c r="E17" s="12" t="s">
        <v>352</v>
      </c>
    </row>
    <row r="18" customFormat="false" ht="15" hidden="false" customHeight="false" outlineLevel="0" collapsed="false">
      <c r="A18" s="17" t="s">
        <v>382</v>
      </c>
      <c r="B18" s="15" t="s">
        <v>279</v>
      </c>
      <c r="C18" s="17" t="s">
        <v>383</v>
      </c>
      <c r="D18" s="16" t="s">
        <v>384</v>
      </c>
      <c r="E18" s="15" t="s">
        <v>352</v>
      </c>
    </row>
    <row r="19" customFormat="false" ht="15" hidden="false" customHeight="false" outlineLevel="0" collapsed="false">
      <c r="A19" s="14" t="s">
        <v>385</v>
      </c>
      <c r="B19" s="12" t="s">
        <v>375</v>
      </c>
      <c r="C19" s="14" t="s">
        <v>386</v>
      </c>
      <c r="D19" s="13" t="s">
        <v>387</v>
      </c>
      <c r="E19" s="12" t="s">
        <v>352</v>
      </c>
    </row>
    <row r="20" customFormat="false" ht="15" hidden="false" customHeight="false" outlineLevel="0" collapsed="false">
      <c r="A20" s="17" t="s">
        <v>388</v>
      </c>
      <c r="B20" s="15" t="s">
        <v>389</v>
      </c>
      <c r="C20" s="17" t="s">
        <v>390</v>
      </c>
      <c r="D20" s="16" t="s">
        <v>15</v>
      </c>
      <c r="E20" s="15" t="s">
        <v>352</v>
      </c>
    </row>
    <row r="21" customFormat="false" ht="35.05" hidden="false" customHeight="false" outlineLevel="0" collapsed="false">
      <c r="A21" s="14" t="s">
        <v>391</v>
      </c>
      <c r="B21" s="12" t="s">
        <v>392</v>
      </c>
      <c r="C21" s="14" t="s">
        <v>393</v>
      </c>
      <c r="D21" s="13" t="s">
        <v>351</v>
      </c>
      <c r="E21" s="12" t="s">
        <v>352</v>
      </c>
    </row>
    <row r="22" customFormat="false" ht="23.85" hidden="false" customHeight="false" outlineLevel="0" collapsed="false">
      <c r="A22" s="17" t="s">
        <v>394</v>
      </c>
      <c r="B22" s="15" t="s">
        <v>395</v>
      </c>
      <c r="C22" s="17" t="s">
        <v>396</v>
      </c>
      <c r="D22" s="15"/>
      <c r="E22" s="15" t="s">
        <v>352</v>
      </c>
    </row>
    <row r="24" customFormat="false" ht="15" hidden="false" customHeight="false" outlineLevel="0" collapsed="false">
      <c r="A24" s="10" t="s">
        <v>397</v>
      </c>
    </row>
  </sheetData>
  <autoFilter ref="A4:E22"/>
  <conditionalFormatting sqref="E5:E22">
    <cfRule type="expression" priority="2" aboveAverage="0" equalAverage="0" bottom="0" percent="0" rank="0" text="" dxfId="7">
      <formula>$E5="Confirmed"</formula>
    </cfRule>
    <cfRule type="expression" priority="3" aboveAverage="0" equalAverage="0" bottom="0" percent="0" rank="0" text="" dxfId="6">
      <formula>$E5&lt;&gt;"Confirmed"</formula>
    </cfRule>
  </conditionalFormatting>
  <hyperlinks>
    <hyperlink ref="D5" r:id="rId1" display="https://www.expertophthalmologywitness.com/about-me/"/>
    <hyperlink ref="D6" r:id="rId2" display="https://www.expertophthalmologywitness.com/about-me/"/>
    <hyperlink ref="D7" r:id="rId3" display="https://www.expertophthalmologywitness.com/about-me/"/>
    <hyperlink ref="D8" r:id="rId4" display="https://www.expertophthalmologywitness.com/about-me/"/>
    <hyperlink ref="D9" r:id="rId5" display="https://www.expertophthalmologywitness.com/about-me/"/>
    <hyperlink ref="D10" r:id="rId6" display="https://www.expertophthalmologywitness.com/about-me/"/>
    <hyperlink ref="D11" r:id="rId7" display="https://www.expertophthalmologywitness.com/about-me/"/>
    <hyperlink ref="D12" r:id="rId8" display="https://www.expertophthalmologywitness.com/about-me/"/>
    <hyperlink ref="D13" r:id="rId9" display="https://www.expertophthalmologywitness.com/ophthalmologist-expert-witness/"/>
    <hyperlink ref="D14" r:id="rId10" display="https://www.expertophthalmologywitness.com/ophthalmologist-expert-witness/"/>
    <hyperlink ref="D15" r:id="rId11" display="https://apps.legislature.ky.gov/law/statutes/statute.aspx?id=49312"/>
    <hyperlink ref="D16" r:id="rId12" display="https://apps.legislature.ky.gov/law/statutes/statute.aspx?id=49312"/>
    <hyperlink ref="D17" r:id="rId13" display="https://apps.legislature.ky.gov/law/statutes/statute.aspx?id=49312"/>
    <hyperlink ref="D18" r:id="rId14" display="https://apps.legislature.ky.gov/law/acts/19RS/documents/0180.pdf"/>
    <hyperlink ref="D19" r:id="rId15" display="https://apps.legislature.ky.gov/law/statutes/statute.aspx?id=58050"/>
    <hyperlink ref="D20" r:id="rId16" display="https://www.expertophthalmologywitness.com/kentucky-expert-ophthalmology-witness/"/>
    <hyperlink ref="D21" r:id="rId17" display="https://www.expertophthalmologywitness.com/about-me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8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A3BF"/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95"/>
    <col collapsed="false" customWidth="true" hidden="false" outlineLevel="0" max="4" min="4" style="0" width="40"/>
  </cols>
  <sheetData>
    <row r="1" customFormat="false" ht="25.5" hidden="false" customHeight="true" outlineLevel="0" collapsed="false">
      <c r="A1" s="1" t="s">
        <v>40</v>
      </c>
    </row>
    <row r="2" customFormat="false" ht="15" hidden="false" customHeight="false" outlineLevel="0" collapsed="false">
      <c r="A2" s="2" t="s">
        <v>398</v>
      </c>
    </row>
    <row r="4" customFormat="false" ht="30" hidden="false" customHeight="true" outlineLevel="0" collapsed="false">
      <c r="A4" s="11" t="s">
        <v>47</v>
      </c>
      <c r="B4" s="11" t="s">
        <v>399</v>
      </c>
      <c r="C4" s="11" t="s">
        <v>400</v>
      </c>
      <c r="D4" s="11" t="s">
        <v>401</v>
      </c>
    </row>
    <row r="5" customFormat="false" ht="15" hidden="false" customHeight="false" outlineLevel="0" collapsed="false">
      <c r="A5" s="12" t="n">
        <v>1</v>
      </c>
      <c r="B5" s="12" t="s">
        <v>402</v>
      </c>
      <c r="C5" s="14" t="s">
        <v>403</v>
      </c>
      <c r="D5" s="18"/>
    </row>
    <row r="6" customFormat="false" ht="23.85" hidden="false" customHeight="false" outlineLevel="0" collapsed="false">
      <c r="A6" s="15" t="n">
        <v>2</v>
      </c>
      <c r="B6" s="15" t="s">
        <v>404</v>
      </c>
      <c r="C6" s="17" t="s">
        <v>405</v>
      </c>
      <c r="D6" s="18"/>
    </row>
    <row r="7" customFormat="false" ht="23.85" hidden="false" customHeight="false" outlineLevel="0" collapsed="false">
      <c r="A7" s="12" t="n">
        <v>3</v>
      </c>
      <c r="B7" s="12" t="s">
        <v>406</v>
      </c>
      <c r="C7" s="14" t="s">
        <v>407</v>
      </c>
      <c r="D7" s="18"/>
    </row>
    <row r="8" customFormat="false" ht="23.85" hidden="false" customHeight="false" outlineLevel="0" collapsed="false">
      <c r="A8" s="15" t="n">
        <v>4</v>
      </c>
      <c r="B8" s="15" t="s">
        <v>408</v>
      </c>
      <c r="C8" s="17" t="s">
        <v>409</v>
      </c>
      <c r="D8" s="18"/>
    </row>
    <row r="9" customFormat="false" ht="15" hidden="false" customHeight="false" outlineLevel="0" collapsed="false">
      <c r="A9" s="12" t="n">
        <v>5</v>
      </c>
      <c r="B9" s="12" t="s">
        <v>410</v>
      </c>
      <c r="C9" s="14" t="s">
        <v>411</v>
      </c>
      <c r="D9" s="18"/>
    </row>
    <row r="11" customFormat="false" ht="15" hidden="false" customHeight="false" outlineLevel="0" collapsed="false">
      <c r="B11" s="10" t="s">
        <v>412</v>
      </c>
    </row>
  </sheetData>
  <autoFilter ref="A4:D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A3BF"/>
    <pageSetUpPr fitToPage="false"/>
  </sheetPr>
  <dimension ref="A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0"/>
  </cols>
  <sheetData>
    <row r="1" customFormat="false" ht="25.5" hidden="false" customHeight="true" outlineLevel="0" collapsed="false">
      <c r="A1" s="1" t="s">
        <v>413</v>
      </c>
    </row>
    <row r="2" customFormat="false" ht="15" hidden="false" customHeight="false" outlineLevel="0" collapsed="false">
      <c r="A2" s="2" t="s">
        <v>414</v>
      </c>
    </row>
    <row r="4" customFormat="false" ht="30" hidden="false" customHeight="true" outlineLevel="0" collapsed="false">
      <c r="A4" s="11" t="s">
        <v>415</v>
      </c>
      <c r="B4" s="11" t="s">
        <v>416</v>
      </c>
    </row>
    <row r="5" customFormat="false" ht="15" hidden="false" customHeight="false" outlineLevel="0" collapsed="false">
      <c r="A5" s="12" t="s">
        <v>417</v>
      </c>
      <c r="B5" s="12" t="s">
        <v>65</v>
      </c>
    </row>
    <row r="6" customFormat="false" ht="15" hidden="false" customHeight="false" outlineLevel="0" collapsed="false">
      <c r="A6" s="15" t="s">
        <v>418</v>
      </c>
      <c r="B6" s="15" t="s">
        <v>419</v>
      </c>
    </row>
    <row r="7" customFormat="false" ht="15" hidden="false" customHeight="false" outlineLevel="0" collapsed="false">
      <c r="A7" s="12" t="s">
        <v>420</v>
      </c>
      <c r="B7" s="12" t="s">
        <v>419</v>
      </c>
    </row>
    <row r="8" customFormat="false" ht="15" hidden="false" customHeight="false" outlineLevel="0" collapsed="false">
      <c r="A8" s="15" t="s">
        <v>421</v>
      </c>
      <c r="B8" s="15" t="s">
        <v>419</v>
      </c>
    </row>
    <row r="9" customFormat="false" ht="15" hidden="false" customHeight="false" outlineLevel="0" collapsed="false">
      <c r="A9" s="12" t="s">
        <v>422</v>
      </c>
      <c r="B9" s="12" t="s">
        <v>65</v>
      </c>
    </row>
    <row r="10" customFormat="false" ht="15" hidden="false" customHeight="false" outlineLevel="0" collapsed="false">
      <c r="A10" s="15" t="s">
        <v>423</v>
      </c>
      <c r="B10" s="15" t="s">
        <v>419</v>
      </c>
    </row>
    <row r="11" customFormat="false" ht="15" hidden="false" customHeight="false" outlineLevel="0" collapsed="false">
      <c r="A11" s="12" t="s">
        <v>424</v>
      </c>
      <c r="B11" s="12" t="s">
        <v>419</v>
      </c>
    </row>
    <row r="12" customFormat="false" ht="15" hidden="false" customHeight="false" outlineLevel="0" collapsed="false">
      <c r="A12" s="15" t="s">
        <v>425</v>
      </c>
      <c r="B12" s="15" t="s">
        <v>419</v>
      </c>
    </row>
    <row r="13" customFormat="false" ht="15" hidden="false" customHeight="false" outlineLevel="0" collapsed="false">
      <c r="A13" s="12" t="s">
        <v>426</v>
      </c>
      <c r="B13" s="12" t="s">
        <v>419</v>
      </c>
    </row>
    <row r="14" customFormat="false" ht="15" hidden="false" customHeight="false" outlineLevel="0" collapsed="false">
      <c r="A14" s="15" t="s">
        <v>427</v>
      </c>
      <c r="B14" s="15" t="s">
        <v>419</v>
      </c>
    </row>
    <row r="15" customFormat="false" ht="15" hidden="false" customHeight="false" outlineLevel="0" collapsed="false">
      <c r="A15" s="12" t="s">
        <v>428</v>
      </c>
      <c r="B15" s="12" t="s">
        <v>65</v>
      </c>
    </row>
  </sheetData>
  <autoFilter ref="A4:B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2026-10-28T14:04:41Z</dcterms:created>
  <dc:creator>openpyxl</dc:creator>
  <dc:description/>
  <dc:language>en-US</dc:language>
  <cp:lastModifiedBy/>
  <dcterms:modified xsi:type="dcterms:W3CDTF">2026-10-28T14:04:42Z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